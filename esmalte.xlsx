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Y:\PCP Planejamento\57. Planejamento Diário - MPS COTY\46. Programações Cosméticos\"/>
    </mc:Choice>
  </mc:AlternateContent>
  <xr:revisionPtr revIDLastSave="0" documentId="13_ncr:1_{35FEF11E-2B7A-4AA2-AFEC-E3C2A658BEA6}" xr6:coauthVersionLast="47" xr6:coauthVersionMax="47" xr10:uidLastSave="{00000000-0000-0000-0000-000000000000}"/>
  <bookViews>
    <workbookView xWindow="-120" yWindow="-120" windowWidth="29040" windowHeight="15720" tabRatio="602" xr2:uid="{00000000-000D-0000-FFFF-FFFF00000000}"/>
  </bookViews>
  <sheets>
    <sheet name="Linhas Rápidas" sheetId="1" r:id="rId1"/>
    <sheet name="COHVPI" sheetId="53" r:id="rId2"/>
    <sheet name="RUN STRATEGY E PET X PAD" sheetId="58" state="hidden" r:id="rId3"/>
    <sheet name="Análise Gél" sheetId="57" state="hidden" r:id="rId4"/>
    <sheet name="MASTERDATA" sheetId="54" state="hidden" r:id="rId5"/>
  </sheets>
  <externalReferences>
    <externalReference r:id="rId6"/>
  </externalReferences>
  <definedNames>
    <definedName name="_xlnm._FilterDatabase" localSheetId="1" hidden="1">COHVPI!$A$1:$N$737</definedName>
    <definedName name="_xlnm._FilterDatabase" localSheetId="4" hidden="1">MASTERDATA!$A$1:$M$170</definedName>
    <definedName name="_xlnm.Print_Area" localSheetId="0">'Linhas Rápidas'!$B$1:$X$219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X145" i="1" l="1"/>
  <c r="W91" i="1"/>
  <c r="N91" i="1"/>
  <c r="F91" i="1"/>
  <c r="E91" i="1"/>
  <c r="AE20" i="1" l="1"/>
  <c r="AF20" i="1" s="1"/>
  <c r="AD20" i="1"/>
  <c r="N20" i="1"/>
  <c r="F20" i="1"/>
  <c r="E20" i="1"/>
  <c r="AE19" i="1"/>
  <c r="AF19" i="1" s="1"/>
  <c r="AD19" i="1"/>
  <c r="U19" i="1"/>
  <c r="N19" i="1"/>
  <c r="F19" i="1"/>
  <c r="E19" i="1"/>
  <c r="AE18" i="1"/>
  <c r="AF18" i="1" s="1"/>
  <c r="AD18" i="1"/>
  <c r="N18" i="1"/>
  <c r="F18" i="1"/>
  <c r="E18" i="1"/>
  <c r="AE17" i="1"/>
  <c r="AF17" i="1" s="1"/>
  <c r="AD17" i="1"/>
  <c r="X17" i="1"/>
  <c r="W17" i="1" s="1"/>
  <c r="V17" i="1"/>
  <c r="U17" i="1"/>
  <c r="N17" i="1"/>
  <c r="F17" i="1"/>
  <c r="E17" i="1"/>
  <c r="AE176" i="1"/>
  <c r="AF176" i="1" s="1"/>
  <c r="AD176" i="1"/>
  <c r="W176" i="1"/>
  <c r="V176" i="1"/>
  <c r="U176" i="1"/>
  <c r="N176" i="1"/>
  <c r="AE175" i="1"/>
  <c r="AF175" i="1" s="1"/>
  <c r="AD175" i="1"/>
  <c r="W175" i="1"/>
  <c r="V175" i="1"/>
  <c r="U175" i="1"/>
  <c r="N175" i="1"/>
  <c r="AE174" i="1"/>
  <c r="AF174" i="1" s="1"/>
  <c r="AD174" i="1"/>
  <c r="W174" i="1"/>
  <c r="V174" i="1"/>
  <c r="U174" i="1"/>
  <c r="N174" i="1"/>
  <c r="AE173" i="1"/>
  <c r="AF173" i="1" s="1"/>
  <c r="AD173" i="1"/>
  <c r="W173" i="1"/>
  <c r="V173" i="1"/>
  <c r="U173" i="1"/>
  <c r="N173" i="1"/>
  <c r="U151" i="1" l="1"/>
  <c r="U149" i="1"/>
  <c r="U147" i="1"/>
  <c r="U145" i="1"/>
  <c r="U143" i="1"/>
  <c r="N162" i="1" l="1"/>
  <c r="U162" i="1"/>
  <c r="V162" i="1"/>
  <c r="W162" i="1"/>
  <c r="AD162" i="1"/>
  <c r="AE162" i="1"/>
  <c r="AF162" i="1" s="1"/>
  <c r="X79" i="1" l="1"/>
  <c r="V151" i="1" l="1"/>
  <c r="V149" i="1"/>
  <c r="V147" i="1"/>
  <c r="V145" i="1"/>
  <c r="V137" i="1"/>
  <c r="V140" i="1"/>
  <c r="U137" i="1" l="1"/>
  <c r="X113" i="1" l="1"/>
  <c r="AE139" i="1" l="1"/>
  <c r="AF139" i="1" s="1"/>
  <c r="AD139" i="1"/>
  <c r="V143" i="1"/>
  <c r="AE142" i="1"/>
  <c r="AF142" i="1" s="1"/>
  <c r="AD142" i="1"/>
  <c r="W142" i="1"/>
  <c r="V142" i="1"/>
  <c r="U142" i="1"/>
  <c r="N142" i="1"/>
  <c r="F142" i="1"/>
  <c r="E142" i="1"/>
  <c r="V141" i="1"/>
  <c r="U141" i="1"/>
  <c r="AE140" i="1"/>
  <c r="AF140" i="1" s="1"/>
  <c r="AD140" i="1"/>
  <c r="W140" i="1"/>
  <c r="U140" i="1"/>
  <c r="N140" i="1"/>
  <c r="F140" i="1"/>
  <c r="E140" i="1"/>
  <c r="AD144" i="1"/>
  <c r="AE144" i="1"/>
  <c r="AF144" i="1" s="1"/>
  <c r="E145" i="1"/>
  <c r="W145" i="1"/>
  <c r="AE104" i="1" l="1"/>
  <c r="AF104" i="1" s="1"/>
  <c r="AD104" i="1"/>
  <c r="N104" i="1"/>
  <c r="F104" i="1"/>
  <c r="E104" i="1"/>
  <c r="AE103" i="1"/>
  <c r="AF103" i="1" s="1"/>
  <c r="AD103" i="1"/>
  <c r="U103" i="1"/>
  <c r="N103" i="1"/>
  <c r="F103" i="1"/>
  <c r="E103" i="1"/>
  <c r="AE102" i="1"/>
  <c r="AF102" i="1" s="1"/>
  <c r="AD102" i="1"/>
  <c r="N102" i="1"/>
  <c r="F102" i="1"/>
  <c r="E102" i="1"/>
  <c r="AE101" i="1"/>
  <c r="AF101" i="1" s="1"/>
  <c r="AD101" i="1"/>
  <c r="X101" i="1"/>
  <c r="W101" i="1" s="1"/>
  <c r="V101" i="1"/>
  <c r="U101" i="1"/>
  <c r="N101" i="1"/>
  <c r="F101" i="1"/>
  <c r="E101" i="1"/>
  <c r="AE100" i="1"/>
  <c r="AF100" i="1" s="1"/>
  <c r="AD100" i="1"/>
  <c r="N100" i="1"/>
  <c r="F100" i="1"/>
  <c r="E100" i="1"/>
  <c r="AE99" i="1"/>
  <c r="AF99" i="1" s="1"/>
  <c r="AD99" i="1"/>
  <c r="U99" i="1"/>
  <c r="N99" i="1"/>
  <c r="F99" i="1"/>
  <c r="E99" i="1"/>
  <c r="AE98" i="1"/>
  <c r="AF98" i="1" s="1"/>
  <c r="AD98" i="1"/>
  <c r="N98" i="1"/>
  <c r="F98" i="1"/>
  <c r="E98" i="1"/>
  <c r="AE97" i="1"/>
  <c r="AF97" i="1" s="1"/>
  <c r="AD97" i="1"/>
  <c r="X97" i="1"/>
  <c r="W97" i="1" s="1"/>
  <c r="V97" i="1"/>
  <c r="U97" i="1"/>
  <c r="N97" i="1"/>
  <c r="F97" i="1"/>
  <c r="E97" i="1"/>
  <c r="AE96" i="1"/>
  <c r="AF96" i="1" s="1"/>
  <c r="AD96" i="1"/>
  <c r="N96" i="1"/>
  <c r="F96" i="1"/>
  <c r="E96" i="1"/>
  <c r="AE95" i="1"/>
  <c r="AF95" i="1" s="1"/>
  <c r="AD95" i="1"/>
  <c r="U95" i="1"/>
  <c r="N95" i="1"/>
  <c r="F95" i="1"/>
  <c r="E95" i="1"/>
  <c r="AE94" i="1"/>
  <c r="AF94" i="1" s="1"/>
  <c r="AD94" i="1"/>
  <c r="N94" i="1"/>
  <c r="F94" i="1"/>
  <c r="E94" i="1"/>
  <c r="AE93" i="1"/>
  <c r="AF93" i="1" s="1"/>
  <c r="AD93" i="1"/>
  <c r="X93" i="1"/>
  <c r="W93" i="1" s="1"/>
  <c r="V93" i="1"/>
  <c r="U93" i="1"/>
  <c r="N93" i="1"/>
  <c r="F93" i="1"/>
  <c r="E93" i="1"/>
  <c r="AE92" i="1"/>
  <c r="AF92" i="1" s="1"/>
  <c r="AD92" i="1"/>
  <c r="AE90" i="1"/>
  <c r="AF90" i="1" s="1"/>
  <c r="AD90" i="1"/>
  <c r="N90" i="1"/>
  <c r="F90" i="1"/>
  <c r="E90" i="1"/>
  <c r="AE89" i="1"/>
  <c r="AF89" i="1" s="1"/>
  <c r="AD89" i="1"/>
  <c r="U89" i="1"/>
  <c r="N89" i="1"/>
  <c r="F89" i="1"/>
  <c r="E89" i="1"/>
  <c r="AE88" i="1"/>
  <c r="AF88" i="1" s="1"/>
  <c r="AD88" i="1"/>
  <c r="N88" i="1"/>
  <c r="F88" i="1"/>
  <c r="E88" i="1"/>
  <c r="AE87" i="1"/>
  <c r="AF87" i="1" s="1"/>
  <c r="AD87" i="1"/>
  <c r="X87" i="1"/>
  <c r="W87" i="1" s="1"/>
  <c r="V87" i="1"/>
  <c r="U87" i="1"/>
  <c r="N87" i="1"/>
  <c r="F87" i="1"/>
  <c r="E87" i="1"/>
  <c r="AE86" i="1"/>
  <c r="AF86" i="1" s="1"/>
  <c r="AD86" i="1"/>
  <c r="N86" i="1"/>
  <c r="F86" i="1"/>
  <c r="E86" i="1"/>
  <c r="AE85" i="1"/>
  <c r="AF85" i="1" s="1"/>
  <c r="AD85" i="1"/>
  <c r="U85" i="1"/>
  <c r="N85" i="1"/>
  <c r="F85" i="1"/>
  <c r="E85" i="1"/>
  <c r="AE84" i="1"/>
  <c r="AF84" i="1" s="1"/>
  <c r="AD84" i="1"/>
  <c r="N84" i="1"/>
  <c r="F84" i="1"/>
  <c r="E84" i="1"/>
  <c r="AE83" i="1"/>
  <c r="AF83" i="1" s="1"/>
  <c r="AD83" i="1"/>
  <c r="X83" i="1"/>
  <c r="W83" i="1" s="1"/>
  <c r="V83" i="1"/>
  <c r="U83" i="1"/>
  <c r="N83" i="1"/>
  <c r="F83" i="1"/>
  <c r="E83" i="1"/>
  <c r="AE82" i="1"/>
  <c r="AF82" i="1" s="1"/>
  <c r="AD82" i="1"/>
  <c r="AE81" i="1"/>
  <c r="AF81" i="1" s="1"/>
  <c r="AD81" i="1"/>
  <c r="U81" i="1"/>
  <c r="N81" i="1"/>
  <c r="F81" i="1"/>
  <c r="E81" i="1"/>
  <c r="AE80" i="1"/>
  <c r="AF80" i="1" s="1"/>
  <c r="AD80" i="1"/>
  <c r="N80" i="1"/>
  <c r="F80" i="1"/>
  <c r="E80" i="1"/>
  <c r="AE79" i="1"/>
  <c r="AF79" i="1" s="1"/>
  <c r="AD79" i="1"/>
  <c r="W79" i="1"/>
  <c r="V79" i="1"/>
  <c r="U79" i="1"/>
  <c r="N79" i="1"/>
  <c r="F79" i="1"/>
  <c r="E79" i="1"/>
  <c r="AE78" i="1"/>
  <c r="AF78" i="1" s="1"/>
  <c r="AD78" i="1"/>
  <c r="N78" i="1"/>
  <c r="F78" i="1"/>
  <c r="E78" i="1"/>
  <c r="AE77" i="1"/>
  <c r="AF77" i="1" s="1"/>
  <c r="AD77" i="1"/>
  <c r="U77" i="1"/>
  <c r="N77" i="1"/>
  <c r="F77" i="1"/>
  <c r="E77" i="1"/>
  <c r="AE76" i="1"/>
  <c r="AF76" i="1" s="1"/>
  <c r="AD76" i="1"/>
  <c r="N76" i="1"/>
  <c r="F76" i="1"/>
  <c r="E76" i="1"/>
  <c r="AE75" i="1"/>
  <c r="AF75" i="1" s="1"/>
  <c r="AD75" i="1"/>
  <c r="X75" i="1"/>
  <c r="W75" i="1" s="1"/>
  <c r="V75" i="1"/>
  <c r="U75" i="1"/>
  <c r="N75" i="1"/>
  <c r="F75" i="1"/>
  <c r="E75" i="1"/>
  <c r="AE74" i="1"/>
  <c r="AF74" i="1" s="1"/>
  <c r="AD74" i="1"/>
  <c r="N74" i="1"/>
  <c r="F74" i="1"/>
  <c r="E74" i="1"/>
  <c r="AE73" i="1"/>
  <c r="AF73" i="1" s="1"/>
  <c r="AD73" i="1"/>
  <c r="U73" i="1"/>
  <c r="N73" i="1"/>
  <c r="F73" i="1"/>
  <c r="E73" i="1"/>
  <c r="AE72" i="1"/>
  <c r="AF72" i="1" s="1"/>
  <c r="AD72" i="1"/>
  <c r="N72" i="1"/>
  <c r="F72" i="1"/>
  <c r="E72" i="1"/>
  <c r="AE71" i="1"/>
  <c r="AF71" i="1" s="1"/>
  <c r="AD71" i="1"/>
  <c r="X71" i="1"/>
  <c r="W71" i="1" s="1"/>
  <c r="V71" i="1"/>
  <c r="U71" i="1"/>
  <c r="N71" i="1"/>
  <c r="F71" i="1"/>
  <c r="E71" i="1"/>
  <c r="AE70" i="1"/>
  <c r="AF70" i="1" s="1"/>
  <c r="AD70" i="1"/>
  <c r="N70" i="1"/>
  <c r="F70" i="1"/>
  <c r="E70" i="1"/>
  <c r="AE69" i="1"/>
  <c r="AF69" i="1" s="1"/>
  <c r="AD69" i="1"/>
  <c r="U69" i="1"/>
  <c r="N69" i="1"/>
  <c r="F69" i="1"/>
  <c r="E69" i="1"/>
  <c r="AE68" i="1"/>
  <c r="AF68" i="1" s="1"/>
  <c r="AD68" i="1"/>
  <c r="N68" i="1"/>
  <c r="F68" i="1"/>
  <c r="E68" i="1"/>
  <c r="AE67" i="1"/>
  <c r="AF67" i="1" s="1"/>
  <c r="AD67" i="1"/>
  <c r="X67" i="1"/>
  <c r="W67" i="1" s="1"/>
  <c r="V67" i="1"/>
  <c r="U67" i="1"/>
  <c r="N67" i="1"/>
  <c r="F67" i="1"/>
  <c r="E67" i="1"/>
  <c r="AE66" i="1"/>
  <c r="AF66" i="1" s="1"/>
  <c r="AD66" i="1"/>
  <c r="X117" i="1"/>
  <c r="E218" i="1" l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1" i="1"/>
  <c r="E167" i="1"/>
  <c r="E158" i="1"/>
  <c r="E157" i="1"/>
  <c r="E152" i="1"/>
  <c r="E151" i="1"/>
  <c r="E150" i="1"/>
  <c r="E149" i="1"/>
  <c r="E148" i="1"/>
  <c r="E147" i="1"/>
  <c r="E146" i="1"/>
  <c r="E138" i="1"/>
  <c r="E137" i="1"/>
  <c r="E124" i="1"/>
  <c r="E123" i="1"/>
  <c r="E122" i="1"/>
  <c r="E121" i="1"/>
  <c r="E120" i="1"/>
  <c r="E119" i="1"/>
  <c r="E118" i="1"/>
  <c r="E117" i="1"/>
  <c r="E109" i="1"/>
  <c r="E65" i="1"/>
  <c r="E64" i="1"/>
  <c r="E63" i="1"/>
  <c r="E62" i="1"/>
  <c r="E15" i="1"/>
  <c r="E14" i="1"/>
  <c r="E13" i="1"/>
  <c r="E12" i="1"/>
  <c r="E11" i="1"/>
  <c r="E10" i="1"/>
  <c r="E9" i="1"/>
  <c r="E8" i="1"/>
  <c r="E7" i="1"/>
  <c r="E6" i="1"/>
  <c r="E5" i="1"/>
  <c r="E4" i="1"/>
  <c r="E132" i="1"/>
  <c r="E131" i="1"/>
  <c r="E130" i="1"/>
  <c r="E129" i="1"/>
  <c r="E128" i="1"/>
  <c r="E127" i="1"/>
  <c r="E126" i="1"/>
  <c r="E125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2" i="1"/>
  <c r="E21" i="1"/>
  <c r="X109" i="1"/>
  <c r="W151" i="1" l="1"/>
  <c r="W149" i="1"/>
  <c r="W147" i="1"/>
  <c r="X8" i="1"/>
  <c r="AE218" i="1" l="1"/>
  <c r="AF218" i="1" s="1"/>
  <c r="AD218" i="1"/>
  <c r="N218" i="1"/>
  <c r="F218" i="1"/>
  <c r="AE217" i="1"/>
  <c r="AF217" i="1" s="1"/>
  <c r="AD217" i="1"/>
  <c r="N217" i="1"/>
  <c r="F217" i="1"/>
  <c r="AE216" i="1"/>
  <c r="AF216" i="1" s="1"/>
  <c r="AD216" i="1"/>
  <c r="N216" i="1"/>
  <c r="F216" i="1"/>
  <c r="AE214" i="1" l="1"/>
  <c r="AF214" i="1" s="1"/>
  <c r="AD214" i="1"/>
  <c r="N214" i="1"/>
  <c r="F214" i="1"/>
  <c r="AE213" i="1"/>
  <c r="AF213" i="1" s="1"/>
  <c r="AD213" i="1"/>
  <c r="N213" i="1"/>
  <c r="F213" i="1"/>
  <c r="AE212" i="1"/>
  <c r="AF212" i="1" s="1"/>
  <c r="AD212" i="1"/>
  <c r="N212" i="1"/>
  <c r="F212" i="1"/>
  <c r="AE211" i="1"/>
  <c r="AF211" i="1" s="1"/>
  <c r="AD211" i="1"/>
  <c r="N211" i="1"/>
  <c r="F211" i="1"/>
  <c r="AE210" i="1"/>
  <c r="AF210" i="1" s="1"/>
  <c r="AD210" i="1"/>
  <c r="N210" i="1"/>
  <c r="F210" i="1"/>
  <c r="AE209" i="1"/>
  <c r="AF209" i="1" s="1"/>
  <c r="AD209" i="1"/>
  <c r="N209" i="1"/>
  <c r="F209" i="1"/>
  <c r="AE215" i="1"/>
  <c r="AF215" i="1" s="1"/>
  <c r="AD215" i="1"/>
  <c r="N215" i="1"/>
  <c r="F215" i="1"/>
  <c r="AE208" i="1"/>
  <c r="AF208" i="1" s="1"/>
  <c r="AD208" i="1"/>
  <c r="N208" i="1"/>
  <c r="F208" i="1"/>
  <c r="AE207" i="1"/>
  <c r="AF207" i="1" s="1"/>
  <c r="AD207" i="1"/>
  <c r="N207" i="1"/>
  <c r="F207" i="1"/>
  <c r="AE206" i="1"/>
  <c r="AF206" i="1" s="1"/>
  <c r="AD206" i="1"/>
  <c r="N206" i="1"/>
  <c r="F206" i="1"/>
  <c r="AE205" i="1"/>
  <c r="AF205" i="1" s="1"/>
  <c r="AD205" i="1"/>
  <c r="N205" i="1"/>
  <c r="F205" i="1"/>
  <c r="AE204" i="1"/>
  <c r="AF204" i="1" s="1"/>
  <c r="AD204" i="1"/>
  <c r="N204" i="1"/>
  <c r="F204" i="1"/>
  <c r="AE203" i="1"/>
  <c r="AF203" i="1" s="1"/>
  <c r="AD203" i="1"/>
  <c r="N203" i="1"/>
  <c r="F203" i="1"/>
  <c r="AE202" i="1"/>
  <c r="AF202" i="1" s="1"/>
  <c r="AD202" i="1"/>
  <c r="N202" i="1"/>
  <c r="F202" i="1"/>
  <c r="AE201" i="1"/>
  <c r="AF201" i="1" s="1"/>
  <c r="AD201" i="1"/>
  <c r="N201" i="1"/>
  <c r="F201" i="1"/>
  <c r="AE200" i="1"/>
  <c r="AF200" i="1" s="1"/>
  <c r="AD200" i="1"/>
  <c r="N200" i="1"/>
  <c r="F200" i="1"/>
  <c r="AE199" i="1"/>
  <c r="AF199" i="1" s="1"/>
  <c r="AD199" i="1"/>
  <c r="N199" i="1"/>
  <c r="F199" i="1"/>
  <c r="AE198" i="1"/>
  <c r="AF198" i="1" s="1"/>
  <c r="AD198" i="1"/>
  <c r="N198" i="1"/>
  <c r="F198" i="1"/>
  <c r="AE197" i="1"/>
  <c r="AF197" i="1" s="1"/>
  <c r="AD197" i="1"/>
  <c r="N197" i="1"/>
  <c r="F197" i="1"/>
  <c r="AE196" i="1"/>
  <c r="AF196" i="1" s="1"/>
  <c r="AD196" i="1"/>
  <c r="N196" i="1"/>
  <c r="F196" i="1"/>
  <c r="AE195" i="1"/>
  <c r="AF195" i="1" s="1"/>
  <c r="AD195" i="1"/>
  <c r="N195" i="1"/>
  <c r="F195" i="1"/>
  <c r="AE194" i="1"/>
  <c r="AF194" i="1" s="1"/>
  <c r="AD194" i="1"/>
  <c r="N194" i="1"/>
  <c r="F194" i="1"/>
  <c r="AE193" i="1"/>
  <c r="AF193" i="1" s="1"/>
  <c r="AD193" i="1"/>
  <c r="N193" i="1"/>
  <c r="F193" i="1"/>
  <c r="AE192" i="1"/>
  <c r="AF192" i="1" s="1"/>
  <c r="AD192" i="1"/>
  <c r="N192" i="1"/>
  <c r="F192" i="1"/>
  <c r="K8" i="57" l="1"/>
  <c r="X137" i="1" l="1"/>
  <c r="W137" i="1" s="1"/>
  <c r="AG138" i="1"/>
  <c r="AH138" i="1" s="1"/>
  <c r="AD138" i="1"/>
  <c r="N138" i="1"/>
  <c r="F138" i="1"/>
  <c r="AG137" i="1"/>
  <c r="AH137" i="1" s="1"/>
  <c r="AD137" i="1"/>
  <c r="N137" i="1"/>
  <c r="F137" i="1"/>
  <c r="W161" i="1" l="1"/>
  <c r="W160" i="1"/>
  <c r="AE161" i="1"/>
  <c r="AF161" i="1" s="1"/>
  <c r="AD161" i="1"/>
  <c r="V161" i="1"/>
  <c r="U161" i="1"/>
  <c r="N161" i="1"/>
  <c r="AE160" i="1"/>
  <c r="AF160" i="1" s="1"/>
  <c r="AD160" i="1"/>
  <c r="V160" i="1"/>
  <c r="U160" i="1"/>
  <c r="N160" i="1"/>
  <c r="AE168" i="1"/>
  <c r="AF168" i="1" s="1"/>
  <c r="AD168" i="1"/>
  <c r="AE167" i="1"/>
  <c r="AF167" i="1" s="1"/>
  <c r="AD167" i="1"/>
  <c r="W167" i="1"/>
  <c r="U167" i="1"/>
  <c r="N167" i="1"/>
  <c r="F167" i="1"/>
  <c r="AE159" i="1"/>
  <c r="AF159" i="1" s="1"/>
  <c r="AD159" i="1"/>
  <c r="AE132" i="1" l="1"/>
  <c r="AF132" i="1" s="1"/>
  <c r="AD132" i="1"/>
  <c r="N132" i="1"/>
  <c r="F132" i="1"/>
  <c r="AE131" i="1"/>
  <c r="AF131" i="1" s="1"/>
  <c r="AD131" i="1"/>
  <c r="U131" i="1"/>
  <c r="N131" i="1"/>
  <c r="F131" i="1"/>
  <c r="AE130" i="1"/>
  <c r="AF130" i="1" s="1"/>
  <c r="AD130" i="1"/>
  <c r="N130" i="1"/>
  <c r="F130" i="1"/>
  <c r="AE129" i="1"/>
  <c r="AF129" i="1" s="1"/>
  <c r="AD129" i="1"/>
  <c r="X129" i="1"/>
  <c r="W129" i="1" s="1"/>
  <c r="V129" i="1"/>
  <c r="U129" i="1"/>
  <c r="N129" i="1"/>
  <c r="F129" i="1"/>
  <c r="AE128" i="1"/>
  <c r="AF128" i="1" s="1"/>
  <c r="AD128" i="1"/>
  <c r="N128" i="1"/>
  <c r="F128" i="1"/>
  <c r="AE127" i="1"/>
  <c r="AF127" i="1" s="1"/>
  <c r="AD127" i="1"/>
  <c r="U127" i="1"/>
  <c r="N127" i="1"/>
  <c r="F127" i="1"/>
  <c r="AE126" i="1"/>
  <c r="AF126" i="1" s="1"/>
  <c r="AD126" i="1"/>
  <c r="N126" i="1"/>
  <c r="F126" i="1"/>
  <c r="AE125" i="1"/>
  <c r="AF125" i="1" s="1"/>
  <c r="AD125" i="1"/>
  <c r="X125" i="1"/>
  <c r="W125" i="1" s="1"/>
  <c r="V125" i="1"/>
  <c r="U125" i="1"/>
  <c r="N125" i="1"/>
  <c r="F125" i="1"/>
  <c r="AE124" i="1"/>
  <c r="AF124" i="1" s="1"/>
  <c r="AD124" i="1"/>
  <c r="N124" i="1"/>
  <c r="F124" i="1"/>
  <c r="AE123" i="1"/>
  <c r="AF123" i="1" s="1"/>
  <c r="AD123" i="1"/>
  <c r="U123" i="1"/>
  <c r="N123" i="1"/>
  <c r="F123" i="1"/>
  <c r="AE122" i="1"/>
  <c r="AF122" i="1" s="1"/>
  <c r="AD122" i="1"/>
  <c r="N122" i="1"/>
  <c r="F122" i="1"/>
  <c r="AE121" i="1"/>
  <c r="AF121" i="1" s="1"/>
  <c r="AD121" i="1"/>
  <c r="X121" i="1"/>
  <c r="W121" i="1" s="1"/>
  <c r="V121" i="1"/>
  <c r="U121" i="1"/>
  <c r="N121" i="1"/>
  <c r="F121" i="1"/>
  <c r="W117" i="1"/>
  <c r="AE120" i="1"/>
  <c r="AF120" i="1" s="1"/>
  <c r="AD120" i="1"/>
  <c r="N120" i="1"/>
  <c r="F120" i="1"/>
  <c r="AE119" i="1"/>
  <c r="AF119" i="1" s="1"/>
  <c r="AD119" i="1"/>
  <c r="U119" i="1"/>
  <c r="N119" i="1"/>
  <c r="F119" i="1"/>
  <c r="AE118" i="1"/>
  <c r="AF118" i="1" s="1"/>
  <c r="AD118" i="1"/>
  <c r="N118" i="1"/>
  <c r="F118" i="1"/>
  <c r="AE117" i="1"/>
  <c r="AF117" i="1" s="1"/>
  <c r="AD117" i="1"/>
  <c r="V117" i="1"/>
  <c r="U117" i="1"/>
  <c r="N117" i="1"/>
  <c r="F117" i="1"/>
  <c r="AE116" i="1"/>
  <c r="AF116" i="1" s="1"/>
  <c r="AD116" i="1"/>
  <c r="AE113" i="1"/>
  <c r="AF113" i="1" s="1"/>
  <c r="AD113" i="1"/>
  <c r="W113" i="1"/>
  <c r="V113" i="1"/>
  <c r="U113" i="1"/>
  <c r="N113" i="1"/>
  <c r="W109" i="1"/>
  <c r="AE112" i="1"/>
  <c r="AF112" i="1" s="1"/>
  <c r="AD112" i="1"/>
  <c r="U112" i="1"/>
  <c r="N112" i="1"/>
  <c r="AE109" i="1"/>
  <c r="AF109" i="1" s="1"/>
  <c r="AD109" i="1"/>
  <c r="V109" i="1"/>
  <c r="U109" i="1"/>
  <c r="N109" i="1"/>
  <c r="F109" i="1"/>
  <c r="AE65" i="1"/>
  <c r="AF65" i="1" s="1"/>
  <c r="AD65" i="1"/>
  <c r="N65" i="1"/>
  <c r="F65" i="1"/>
  <c r="AE64" i="1"/>
  <c r="AF64" i="1" s="1"/>
  <c r="AD64" i="1"/>
  <c r="U64" i="1"/>
  <c r="N64" i="1"/>
  <c r="F64" i="1"/>
  <c r="AE63" i="1"/>
  <c r="AF63" i="1" s="1"/>
  <c r="AD63" i="1"/>
  <c r="N63" i="1"/>
  <c r="F63" i="1"/>
  <c r="AE62" i="1"/>
  <c r="AF62" i="1" s="1"/>
  <c r="AD62" i="1"/>
  <c r="W62" i="1"/>
  <c r="V62" i="1"/>
  <c r="U62" i="1"/>
  <c r="N62" i="1"/>
  <c r="F62" i="1"/>
  <c r="AE49" i="1" l="1"/>
  <c r="AF49" i="1" s="1"/>
  <c r="AD49" i="1"/>
  <c r="N49" i="1"/>
  <c r="F49" i="1"/>
  <c r="AE48" i="1"/>
  <c r="AF48" i="1" s="1"/>
  <c r="AD48" i="1"/>
  <c r="U48" i="1"/>
  <c r="N48" i="1"/>
  <c r="F48" i="1"/>
  <c r="AE47" i="1"/>
  <c r="AF47" i="1" s="1"/>
  <c r="AD47" i="1"/>
  <c r="N47" i="1"/>
  <c r="F47" i="1"/>
  <c r="AE46" i="1"/>
  <c r="AF46" i="1" s="1"/>
  <c r="AD46" i="1"/>
  <c r="X46" i="1"/>
  <c r="W46" i="1" s="1"/>
  <c r="V46" i="1"/>
  <c r="U46" i="1"/>
  <c r="N46" i="1"/>
  <c r="F46" i="1"/>
  <c r="AE45" i="1"/>
  <c r="AF45" i="1" s="1"/>
  <c r="AD45" i="1"/>
  <c r="N45" i="1"/>
  <c r="F45" i="1"/>
  <c r="AE44" i="1"/>
  <c r="AF44" i="1" s="1"/>
  <c r="AD44" i="1"/>
  <c r="U44" i="1"/>
  <c r="N44" i="1"/>
  <c r="F44" i="1"/>
  <c r="AE43" i="1"/>
  <c r="AF43" i="1" s="1"/>
  <c r="AD43" i="1"/>
  <c r="N43" i="1"/>
  <c r="F43" i="1"/>
  <c r="AE42" i="1"/>
  <c r="AF42" i="1" s="1"/>
  <c r="AD42" i="1"/>
  <c r="X42" i="1"/>
  <c r="W42" i="1" s="1"/>
  <c r="V42" i="1"/>
  <c r="U42" i="1"/>
  <c r="N42" i="1"/>
  <c r="F42" i="1"/>
  <c r="AE41" i="1"/>
  <c r="AF41" i="1" s="1"/>
  <c r="AD41" i="1"/>
  <c r="N41" i="1"/>
  <c r="F41" i="1"/>
  <c r="AE40" i="1"/>
  <c r="AF40" i="1" s="1"/>
  <c r="AD40" i="1"/>
  <c r="U40" i="1"/>
  <c r="N40" i="1"/>
  <c r="F40" i="1"/>
  <c r="AE39" i="1"/>
  <c r="AF39" i="1" s="1"/>
  <c r="AD39" i="1"/>
  <c r="N39" i="1"/>
  <c r="F39" i="1"/>
  <c r="AE38" i="1"/>
  <c r="AF38" i="1" s="1"/>
  <c r="AD38" i="1"/>
  <c r="X38" i="1"/>
  <c r="W38" i="1" s="1"/>
  <c r="V38" i="1"/>
  <c r="U38" i="1"/>
  <c r="N38" i="1"/>
  <c r="F38" i="1"/>
  <c r="AE37" i="1"/>
  <c r="AF37" i="1" s="1"/>
  <c r="AD37" i="1"/>
  <c r="N37" i="1"/>
  <c r="F37" i="1"/>
  <c r="AE36" i="1"/>
  <c r="AF36" i="1" s="1"/>
  <c r="AD36" i="1"/>
  <c r="U36" i="1"/>
  <c r="N36" i="1"/>
  <c r="F36" i="1"/>
  <c r="AE35" i="1"/>
  <c r="AF35" i="1" s="1"/>
  <c r="AD35" i="1"/>
  <c r="N35" i="1"/>
  <c r="F35" i="1"/>
  <c r="AE34" i="1"/>
  <c r="AF34" i="1" s="1"/>
  <c r="AD34" i="1"/>
  <c r="X34" i="1"/>
  <c r="W34" i="1" s="1"/>
  <c r="V34" i="1"/>
  <c r="U34" i="1"/>
  <c r="N34" i="1"/>
  <c r="F34" i="1"/>
  <c r="AE33" i="1"/>
  <c r="AF33" i="1" s="1"/>
  <c r="AD33" i="1"/>
  <c r="N33" i="1"/>
  <c r="F33" i="1"/>
  <c r="AE32" i="1"/>
  <c r="AF32" i="1" s="1"/>
  <c r="AD32" i="1"/>
  <c r="U32" i="1"/>
  <c r="N32" i="1"/>
  <c r="F32" i="1"/>
  <c r="AE31" i="1"/>
  <c r="AF31" i="1" s="1"/>
  <c r="AD31" i="1"/>
  <c r="N31" i="1"/>
  <c r="F31" i="1"/>
  <c r="AE30" i="1"/>
  <c r="AF30" i="1" s="1"/>
  <c r="AD30" i="1"/>
  <c r="X30" i="1"/>
  <c r="W30" i="1" s="1"/>
  <c r="V30" i="1"/>
  <c r="U30" i="1"/>
  <c r="N30" i="1"/>
  <c r="F30" i="1"/>
  <c r="X26" i="1"/>
  <c r="W26" i="1" s="1"/>
  <c r="AE25" i="1"/>
  <c r="AF25" i="1" s="1"/>
  <c r="AD25" i="1"/>
  <c r="N25" i="1"/>
  <c r="F25" i="1"/>
  <c r="AE24" i="1"/>
  <c r="AF24" i="1" s="1"/>
  <c r="AD24" i="1"/>
  <c r="U24" i="1"/>
  <c r="N24" i="1"/>
  <c r="F24" i="1"/>
  <c r="AE22" i="1"/>
  <c r="AF22" i="1" s="1"/>
  <c r="AD22" i="1"/>
  <c r="N22" i="1"/>
  <c r="F22" i="1"/>
  <c r="AE21" i="1"/>
  <c r="AF21" i="1" s="1"/>
  <c r="AD21" i="1"/>
  <c r="X21" i="1"/>
  <c r="W21" i="1" s="1"/>
  <c r="V21" i="1"/>
  <c r="U21" i="1"/>
  <c r="N21" i="1"/>
  <c r="F21" i="1"/>
  <c r="AE29" i="1"/>
  <c r="AF29" i="1" s="1"/>
  <c r="AD29" i="1"/>
  <c r="N29" i="1"/>
  <c r="F29" i="1"/>
  <c r="AE28" i="1"/>
  <c r="AF28" i="1" s="1"/>
  <c r="AD28" i="1"/>
  <c r="U28" i="1"/>
  <c r="N28" i="1"/>
  <c r="F28" i="1"/>
  <c r="AE27" i="1"/>
  <c r="AF27" i="1" s="1"/>
  <c r="AD27" i="1"/>
  <c r="N27" i="1"/>
  <c r="F27" i="1"/>
  <c r="AE26" i="1"/>
  <c r="AF26" i="1" s="1"/>
  <c r="AD26" i="1"/>
  <c r="V26" i="1"/>
  <c r="U26" i="1"/>
  <c r="N26" i="1"/>
  <c r="F26" i="1"/>
  <c r="AE16" i="1"/>
  <c r="AF16" i="1" s="1"/>
  <c r="AD16" i="1"/>
  <c r="AE15" i="1"/>
  <c r="AF15" i="1" s="1"/>
  <c r="AD15" i="1"/>
  <c r="N15" i="1"/>
  <c r="F15" i="1"/>
  <c r="AE14" i="1"/>
  <c r="AF14" i="1" s="1"/>
  <c r="AD14" i="1"/>
  <c r="U14" i="1"/>
  <c r="N14" i="1"/>
  <c r="F14" i="1"/>
  <c r="AE13" i="1"/>
  <c r="AF13" i="1" s="1"/>
  <c r="AD13" i="1"/>
  <c r="N13" i="1"/>
  <c r="F13" i="1"/>
  <c r="AE12" i="1"/>
  <c r="AF12" i="1" s="1"/>
  <c r="AD12" i="1"/>
  <c r="W12" i="1"/>
  <c r="V12" i="1"/>
  <c r="U12" i="1"/>
  <c r="N12" i="1"/>
  <c r="F12" i="1"/>
  <c r="AE11" i="1"/>
  <c r="AF11" i="1" s="1"/>
  <c r="AD11" i="1"/>
  <c r="N11" i="1"/>
  <c r="F11" i="1"/>
  <c r="AE10" i="1"/>
  <c r="AF10" i="1" s="1"/>
  <c r="AD10" i="1"/>
  <c r="U10" i="1"/>
  <c r="N10" i="1"/>
  <c r="F10" i="1"/>
  <c r="AE9" i="1"/>
  <c r="AF9" i="1" s="1"/>
  <c r="AD9" i="1"/>
  <c r="N9" i="1"/>
  <c r="F9" i="1"/>
  <c r="AE8" i="1"/>
  <c r="AF8" i="1" s="1"/>
  <c r="AD8" i="1"/>
  <c r="W8" i="1"/>
  <c r="V8" i="1"/>
  <c r="U8" i="1"/>
  <c r="N8" i="1"/>
  <c r="F8" i="1"/>
  <c r="AE7" i="1"/>
  <c r="AF7" i="1" s="1"/>
  <c r="AD7" i="1"/>
  <c r="N7" i="1"/>
  <c r="F7" i="1"/>
  <c r="AE6" i="1"/>
  <c r="AF6" i="1" s="1"/>
  <c r="AD6" i="1"/>
  <c r="U6" i="1"/>
  <c r="N6" i="1"/>
  <c r="F6" i="1"/>
  <c r="AE5" i="1"/>
  <c r="AF5" i="1" s="1"/>
  <c r="AD5" i="1"/>
  <c r="N5" i="1"/>
  <c r="F5" i="1"/>
  <c r="AE4" i="1"/>
  <c r="AF4" i="1" s="1"/>
  <c r="AD4" i="1"/>
  <c r="W4" i="1"/>
  <c r="V4" i="1"/>
  <c r="U4" i="1"/>
  <c r="N4" i="1"/>
  <c r="F4" i="1"/>
  <c r="AE889" i="1" l="1"/>
  <c r="AF889" i="1" s="1"/>
  <c r="AD889" i="1"/>
  <c r="AE888" i="1"/>
  <c r="AF888" i="1" s="1"/>
  <c r="AD888" i="1"/>
  <c r="AE887" i="1"/>
  <c r="AF887" i="1" s="1"/>
  <c r="AD887" i="1"/>
  <c r="AE886" i="1"/>
  <c r="AF886" i="1" s="1"/>
  <c r="AD886" i="1"/>
  <c r="AE885" i="1"/>
  <c r="AF885" i="1" s="1"/>
  <c r="AD885" i="1"/>
  <c r="AE884" i="1"/>
  <c r="AF884" i="1" s="1"/>
  <c r="AD884" i="1"/>
  <c r="AE883" i="1"/>
  <c r="AF883" i="1" s="1"/>
  <c r="AD883" i="1"/>
  <c r="AE882" i="1"/>
  <c r="AF882" i="1" s="1"/>
  <c r="AD882" i="1"/>
  <c r="AE881" i="1"/>
  <c r="AF881" i="1" s="1"/>
  <c r="AD881" i="1"/>
  <c r="AE880" i="1"/>
  <c r="AF880" i="1" s="1"/>
  <c r="AD880" i="1"/>
  <c r="AE879" i="1"/>
  <c r="AF879" i="1" s="1"/>
  <c r="AD879" i="1"/>
  <c r="AE878" i="1"/>
  <c r="AF878" i="1" s="1"/>
  <c r="AD878" i="1"/>
  <c r="AE877" i="1"/>
  <c r="AF877" i="1" s="1"/>
  <c r="AD877" i="1"/>
  <c r="AE876" i="1"/>
  <c r="AF876" i="1" s="1"/>
  <c r="AD876" i="1"/>
  <c r="AE875" i="1"/>
  <c r="AF875" i="1" s="1"/>
  <c r="AD875" i="1"/>
  <c r="AE874" i="1"/>
  <c r="AF874" i="1" s="1"/>
  <c r="AD874" i="1"/>
  <c r="AE873" i="1"/>
  <c r="AF873" i="1" s="1"/>
  <c r="AD873" i="1"/>
  <c r="AE872" i="1"/>
  <c r="AF872" i="1" s="1"/>
  <c r="AD872" i="1"/>
  <c r="AE871" i="1"/>
  <c r="AF871" i="1" s="1"/>
  <c r="AD871" i="1"/>
  <c r="AE870" i="1"/>
  <c r="AF870" i="1" s="1"/>
  <c r="AD870" i="1"/>
  <c r="AE869" i="1"/>
  <c r="AF869" i="1" s="1"/>
  <c r="AD869" i="1"/>
  <c r="AE868" i="1"/>
  <c r="AF868" i="1" s="1"/>
  <c r="AD868" i="1"/>
  <c r="AE867" i="1"/>
  <c r="AF867" i="1" s="1"/>
  <c r="AD867" i="1"/>
  <c r="AE866" i="1"/>
  <c r="AF866" i="1" s="1"/>
  <c r="AD866" i="1"/>
  <c r="AE865" i="1"/>
  <c r="AF865" i="1" s="1"/>
  <c r="AD865" i="1"/>
  <c r="AE864" i="1"/>
  <c r="AF864" i="1" s="1"/>
  <c r="AD864" i="1"/>
  <c r="AE863" i="1"/>
  <c r="AF863" i="1" s="1"/>
  <c r="AD863" i="1"/>
  <c r="AE862" i="1"/>
  <c r="AF862" i="1" s="1"/>
  <c r="AD862" i="1"/>
  <c r="AE861" i="1"/>
  <c r="AF861" i="1" s="1"/>
  <c r="AD861" i="1"/>
  <c r="AE860" i="1"/>
  <c r="AF860" i="1" s="1"/>
  <c r="AD860" i="1"/>
  <c r="AE859" i="1"/>
  <c r="AF859" i="1" s="1"/>
  <c r="AD859" i="1"/>
  <c r="AE858" i="1"/>
  <c r="AF858" i="1" s="1"/>
  <c r="AD858" i="1"/>
  <c r="AE857" i="1"/>
  <c r="AF857" i="1" s="1"/>
  <c r="AD857" i="1"/>
  <c r="AE856" i="1"/>
  <c r="AF856" i="1" s="1"/>
  <c r="AD856" i="1"/>
  <c r="AE855" i="1"/>
  <c r="AF855" i="1" s="1"/>
  <c r="AD855" i="1"/>
  <c r="AE854" i="1"/>
  <c r="AF854" i="1" s="1"/>
  <c r="AD854" i="1"/>
  <c r="AE853" i="1"/>
  <c r="AF853" i="1" s="1"/>
  <c r="AD853" i="1"/>
  <c r="AE852" i="1"/>
  <c r="AF852" i="1" s="1"/>
  <c r="AD852" i="1"/>
  <c r="AE851" i="1"/>
  <c r="AF851" i="1" s="1"/>
  <c r="AD851" i="1"/>
  <c r="AE850" i="1"/>
  <c r="AF850" i="1" s="1"/>
  <c r="AD850" i="1"/>
  <c r="AE849" i="1"/>
  <c r="AF849" i="1" s="1"/>
  <c r="AD849" i="1"/>
  <c r="AE848" i="1"/>
  <c r="AF848" i="1" s="1"/>
  <c r="AD848" i="1"/>
  <c r="AE847" i="1"/>
  <c r="AF847" i="1" s="1"/>
  <c r="AD847" i="1"/>
  <c r="AE846" i="1"/>
  <c r="AF846" i="1" s="1"/>
  <c r="AD846" i="1"/>
  <c r="AE845" i="1"/>
  <c r="AF845" i="1" s="1"/>
  <c r="AD845" i="1"/>
  <c r="AE844" i="1"/>
  <c r="AF844" i="1" s="1"/>
  <c r="AD844" i="1"/>
  <c r="AE843" i="1"/>
  <c r="AF843" i="1" s="1"/>
  <c r="AD843" i="1"/>
  <c r="AE842" i="1"/>
  <c r="AF842" i="1" s="1"/>
  <c r="AD842" i="1"/>
  <c r="AE841" i="1"/>
  <c r="AF841" i="1" s="1"/>
  <c r="AD841" i="1"/>
  <c r="AE840" i="1"/>
  <c r="AF840" i="1" s="1"/>
  <c r="AD840" i="1"/>
  <c r="AE839" i="1"/>
  <c r="AF839" i="1" s="1"/>
  <c r="AD839" i="1"/>
  <c r="AE838" i="1"/>
  <c r="AF838" i="1" s="1"/>
  <c r="AD838" i="1"/>
  <c r="AE837" i="1"/>
  <c r="AF837" i="1" s="1"/>
  <c r="AD837" i="1"/>
  <c r="AE836" i="1"/>
  <c r="AF836" i="1" s="1"/>
  <c r="AD836" i="1"/>
  <c r="AE835" i="1"/>
  <c r="AF835" i="1" s="1"/>
  <c r="AD835" i="1"/>
  <c r="AE834" i="1"/>
  <c r="AF834" i="1" s="1"/>
  <c r="AD834" i="1"/>
  <c r="AE833" i="1"/>
  <c r="AF833" i="1" s="1"/>
  <c r="AD833" i="1"/>
  <c r="AE832" i="1"/>
  <c r="AF832" i="1" s="1"/>
  <c r="AD832" i="1"/>
  <c r="AE831" i="1"/>
  <c r="AF831" i="1" s="1"/>
  <c r="AD831" i="1"/>
  <c r="AE830" i="1"/>
  <c r="AF830" i="1" s="1"/>
  <c r="AD830" i="1"/>
  <c r="AE829" i="1"/>
  <c r="AF829" i="1" s="1"/>
  <c r="AD829" i="1"/>
  <c r="AE828" i="1"/>
  <c r="AF828" i="1" s="1"/>
  <c r="AD828" i="1"/>
  <c r="AE827" i="1"/>
  <c r="AF827" i="1" s="1"/>
  <c r="AD827" i="1"/>
  <c r="AE826" i="1"/>
  <c r="AF826" i="1" s="1"/>
  <c r="AD826" i="1"/>
  <c r="AE825" i="1"/>
  <c r="AF825" i="1" s="1"/>
  <c r="AD825" i="1"/>
  <c r="AE824" i="1"/>
  <c r="AF824" i="1" s="1"/>
  <c r="AD824" i="1"/>
  <c r="AE823" i="1"/>
  <c r="AF823" i="1" s="1"/>
  <c r="AD823" i="1"/>
  <c r="AE822" i="1"/>
  <c r="AF822" i="1" s="1"/>
  <c r="AD822" i="1"/>
  <c r="AE821" i="1"/>
  <c r="AF821" i="1" s="1"/>
  <c r="AD821" i="1"/>
  <c r="AE820" i="1"/>
  <c r="AF820" i="1" s="1"/>
  <c r="AD820" i="1"/>
  <c r="AE819" i="1"/>
  <c r="AF819" i="1" s="1"/>
  <c r="AD819" i="1"/>
  <c r="AE818" i="1"/>
  <c r="AF818" i="1" s="1"/>
  <c r="AD818" i="1"/>
  <c r="AE817" i="1"/>
  <c r="AF817" i="1" s="1"/>
  <c r="AD817" i="1"/>
  <c r="AE816" i="1"/>
  <c r="AF816" i="1" s="1"/>
  <c r="AD816" i="1"/>
  <c r="AE815" i="1"/>
  <c r="AF815" i="1" s="1"/>
  <c r="AD815" i="1"/>
  <c r="AE814" i="1"/>
  <c r="AF814" i="1" s="1"/>
  <c r="AD814" i="1"/>
  <c r="AE813" i="1"/>
  <c r="AF813" i="1" s="1"/>
  <c r="AD813" i="1"/>
  <c r="AE812" i="1"/>
  <c r="AF812" i="1" s="1"/>
  <c r="AD812" i="1"/>
  <c r="AE811" i="1"/>
  <c r="AF811" i="1" s="1"/>
  <c r="AD811" i="1"/>
  <c r="AE810" i="1"/>
  <c r="AF810" i="1" s="1"/>
  <c r="AD810" i="1"/>
  <c r="AE809" i="1"/>
  <c r="AF809" i="1" s="1"/>
  <c r="AD809" i="1"/>
  <c r="AE808" i="1"/>
  <c r="AF808" i="1" s="1"/>
  <c r="AD808" i="1"/>
  <c r="AE807" i="1"/>
  <c r="AF807" i="1" s="1"/>
  <c r="AD807" i="1"/>
  <c r="AE806" i="1"/>
  <c r="AF806" i="1" s="1"/>
  <c r="AD806" i="1"/>
  <c r="AE805" i="1"/>
  <c r="AF805" i="1" s="1"/>
  <c r="AD805" i="1"/>
  <c r="AE804" i="1"/>
  <c r="AF804" i="1" s="1"/>
  <c r="AD804" i="1"/>
  <c r="AE803" i="1"/>
  <c r="AF803" i="1" s="1"/>
  <c r="AD803" i="1"/>
  <c r="AE802" i="1"/>
  <c r="AF802" i="1" s="1"/>
  <c r="AD802" i="1"/>
  <c r="AE801" i="1"/>
  <c r="AF801" i="1" s="1"/>
  <c r="AD801" i="1"/>
  <c r="AE800" i="1"/>
  <c r="AF800" i="1" s="1"/>
  <c r="AD800" i="1"/>
  <c r="AE799" i="1"/>
  <c r="AF799" i="1" s="1"/>
  <c r="AD799" i="1"/>
  <c r="AE798" i="1"/>
  <c r="AF798" i="1" s="1"/>
  <c r="AD798" i="1"/>
  <c r="AE797" i="1"/>
  <c r="AF797" i="1" s="1"/>
  <c r="AD797" i="1"/>
  <c r="AE796" i="1"/>
  <c r="AF796" i="1" s="1"/>
  <c r="AD796" i="1"/>
  <c r="AE795" i="1"/>
  <c r="AF795" i="1" s="1"/>
  <c r="AD795" i="1"/>
  <c r="AE794" i="1"/>
  <c r="AF794" i="1" s="1"/>
  <c r="AD794" i="1"/>
  <c r="AE793" i="1"/>
  <c r="AF793" i="1" s="1"/>
  <c r="AD793" i="1"/>
  <c r="AE792" i="1"/>
  <c r="AF792" i="1" s="1"/>
  <c r="AD792" i="1"/>
  <c r="AE791" i="1"/>
  <c r="AF791" i="1" s="1"/>
  <c r="AD791" i="1"/>
  <c r="AE790" i="1"/>
  <c r="AF790" i="1" s="1"/>
  <c r="AD790" i="1"/>
  <c r="AE789" i="1"/>
  <c r="AF789" i="1" s="1"/>
  <c r="AD789" i="1"/>
  <c r="AE788" i="1"/>
  <c r="AF788" i="1" s="1"/>
  <c r="AD788" i="1"/>
  <c r="AE787" i="1"/>
  <c r="AF787" i="1" s="1"/>
  <c r="AD787" i="1"/>
  <c r="AE786" i="1"/>
  <c r="AF786" i="1" s="1"/>
  <c r="AD786" i="1"/>
  <c r="AE785" i="1"/>
  <c r="AF785" i="1" s="1"/>
  <c r="AD785" i="1"/>
  <c r="AE784" i="1"/>
  <c r="AF784" i="1" s="1"/>
  <c r="AD784" i="1"/>
  <c r="AE783" i="1"/>
  <c r="AF783" i="1" s="1"/>
  <c r="AD783" i="1"/>
  <c r="AE782" i="1"/>
  <c r="AF782" i="1" s="1"/>
  <c r="AD782" i="1"/>
  <c r="AE781" i="1"/>
  <c r="AF781" i="1" s="1"/>
  <c r="AD781" i="1"/>
  <c r="AE780" i="1"/>
  <c r="AF780" i="1" s="1"/>
  <c r="AD780" i="1"/>
  <c r="AE779" i="1"/>
  <c r="AF779" i="1" s="1"/>
  <c r="AD779" i="1"/>
  <c r="AE778" i="1"/>
  <c r="AF778" i="1" s="1"/>
  <c r="AD778" i="1"/>
  <c r="AE777" i="1"/>
  <c r="AF777" i="1" s="1"/>
  <c r="AD777" i="1"/>
  <c r="AE776" i="1"/>
  <c r="AF776" i="1" s="1"/>
  <c r="AD776" i="1"/>
  <c r="AE775" i="1"/>
  <c r="AF775" i="1" s="1"/>
  <c r="AD775" i="1"/>
  <c r="AE774" i="1"/>
  <c r="AF774" i="1" s="1"/>
  <c r="AD774" i="1"/>
  <c r="AE773" i="1"/>
  <c r="AF773" i="1" s="1"/>
  <c r="AD773" i="1"/>
  <c r="AE772" i="1"/>
  <c r="AF772" i="1" s="1"/>
  <c r="AD772" i="1"/>
  <c r="AE771" i="1"/>
  <c r="AF771" i="1" s="1"/>
  <c r="AD771" i="1"/>
  <c r="AE770" i="1"/>
  <c r="AF770" i="1" s="1"/>
  <c r="AD770" i="1"/>
  <c r="AE769" i="1"/>
  <c r="AF769" i="1" s="1"/>
  <c r="AD769" i="1"/>
  <c r="AE768" i="1"/>
  <c r="AF768" i="1" s="1"/>
  <c r="AD768" i="1"/>
  <c r="AE767" i="1"/>
  <c r="AF767" i="1" s="1"/>
  <c r="AD767" i="1"/>
  <c r="AE766" i="1"/>
  <c r="AF766" i="1" s="1"/>
  <c r="AD766" i="1"/>
  <c r="AE765" i="1"/>
  <c r="AF765" i="1" s="1"/>
  <c r="AD765" i="1"/>
  <c r="AE764" i="1"/>
  <c r="AF764" i="1" s="1"/>
  <c r="AD764" i="1"/>
  <c r="AE763" i="1"/>
  <c r="AF763" i="1" s="1"/>
  <c r="AD763" i="1"/>
  <c r="AE762" i="1"/>
  <c r="AF762" i="1" s="1"/>
  <c r="AD762" i="1"/>
  <c r="AE761" i="1"/>
  <c r="AF761" i="1" s="1"/>
  <c r="AD761" i="1"/>
  <c r="AE760" i="1"/>
  <c r="AF760" i="1" s="1"/>
  <c r="AD760" i="1"/>
  <c r="AE759" i="1"/>
  <c r="AF759" i="1" s="1"/>
  <c r="AD759" i="1"/>
  <c r="AE758" i="1"/>
  <c r="AF758" i="1" s="1"/>
  <c r="AD758" i="1"/>
  <c r="AE757" i="1"/>
  <c r="AF757" i="1" s="1"/>
  <c r="AD757" i="1"/>
  <c r="AE756" i="1"/>
  <c r="AF756" i="1" s="1"/>
  <c r="AD756" i="1"/>
  <c r="AE755" i="1"/>
  <c r="AF755" i="1" s="1"/>
  <c r="AD755" i="1"/>
  <c r="AE754" i="1"/>
  <c r="AF754" i="1" s="1"/>
  <c r="AD754" i="1"/>
  <c r="AE753" i="1"/>
  <c r="AF753" i="1" s="1"/>
  <c r="AD753" i="1"/>
  <c r="AE752" i="1"/>
  <c r="AF752" i="1" s="1"/>
  <c r="AD752" i="1"/>
  <c r="AE751" i="1"/>
  <c r="AF751" i="1" s="1"/>
  <c r="AD751" i="1"/>
  <c r="AE750" i="1"/>
  <c r="AF750" i="1" s="1"/>
  <c r="AD750" i="1"/>
  <c r="AE749" i="1"/>
  <c r="AF749" i="1" s="1"/>
  <c r="AD749" i="1"/>
  <c r="AE748" i="1"/>
  <c r="AF748" i="1" s="1"/>
  <c r="AD748" i="1"/>
  <c r="AE747" i="1"/>
  <c r="AF747" i="1" s="1"/>
  <c r="AD747" i="1"/>
  <c r="AE746" i="1"/>
  <c r="AF746" i="1" s="1"/>
  <c r="AD746" i="1"/>
  <c r="AE745" i="1"/>
  <c r="AF745" i="1" s="1"/>
  <c r="AD745" i="1"/>
  <c r="AE744" i="1"/>
  <c r="AF744" i="1" s="1"/>
  <c r="AD744" i="1"/>
  <c r="AE743" i="1"/>
  <c r="AF743" i="1" s="1"/>
  <c r="AD743" i="1"/>
  <c r="AE742" i="1"/>
  <c r="AF742" i="1" s="1"/>
  <c r="AD742" i="1"/>
  <c r="AE741" i="1"/>
  <c r="AF741" i="1" s="1"/>
  <c r="AD741" i="1"/>
  <c r="AE740" i="1"/>
  <c r="AF740" i="1" s="1"/>
  <c r="AD740" i="1"/>
  <c r="AE739" i="1"/>
  <c r="AF739" i="1" s="1"/>
  <c r="AD739" i="1"/>
  <c r="AE738" i="1"/>
  <c r="AF738" i="1" s="1"/>
  <c r="AD738" i="1"/>
  <c r="AE737" i="1"/>
  <c r="AF737" i="1" s="1"/>
  <c r="AD737" i="1"/>
  <c r="AE736" i="1"/>
  <c r="AF736" i="1" s="1"/>
  <c r="AD736" i="1"/>
  <c r="AE735" i="1"/>
  <c r="AF735" i="1" s="1"/>
  <c r="AD735" i="1"/>
  <c r="AE734" i="1"/>
  <c r="AF734" i="1" s="1"/>
  <c r="AD734" i="1"/>
  <c r="AE733" i="1"/>
  <c r="AF733" i="1" s="1"/>
  <c r="AD733" i="1"/>
  <c r="AE732" i="1"/>
  <c r="AF732" i="1" s="1"/>
  <c r="AD732" i="1"/>
  <c r="AE731" i="1"/>
  <c r="AF731" i="1" s="1"/>
  <c r="AD731" i="1"/>
  <c r="AE730" i="1"/>
  <c r="AF730" i="1" s="1"/>
  <c r="AD730" i="1"/>
  <c r="AE729" i="1"/>
  <c r="AF729" i="1" s="1"/>
  <c r="AD729" i="1"/>
  <c r="AE728" i="1"/>
  <c r="AF728" i="1" s="1"/>
  <c r="AD728" i="1"/>
  <c r="AE727" i="1"/>
  <c r="AF727" i="1" s="1"/>
  <c r="AD727" i="1"/>
  <c r="AE726" i="1"/>
  <c r="AF726" i="1" s="1"/>
  <c r="AD726" i="1"/>
  <c r="AE725" i="1"/>
  <c r="AF725" i="1" s="1"/>
  <c r="AD725" i="1"/>
  <c r="AE724" i="1"/>
  <c r="AF724" i="1" s="1"/>
  <c r="AD724" i="1"/>
  <c r="AE723" i="1"/>
  <c r="AF723" i="1" s="1"/>
  <c r="AD723" i="1"/>
  <c r="AE722" i="1"/>
  <c r="AF722" i="1" s="1"/>
  <c r="AD722" i="1"/>
  <c r="AE721" i="1"/>
  <c r="AF721" i="1" s="1"/>
  <c r="AD721" i="1"/>
  <c r="AE720" i="1"/>
  <c r="AF720" i="1" s="1"/>
  <c r="AD720" i="1"/>
  <c r="AE719" i="1"/>
  <c r="AF719" i="1" s="1"/>
  <c r="AD719" i="1"/>
  <c r="AE718" i="1"/>
  <c r="AF718" i="1" s="1"/>
  <c r="AD718" i="1"/>
  <c r="AE717" i="1"/>
  <c r="AF717" i="1" s="1"/>
  <c r="AD717" i="1"/>
  <c r="AE716" i="1"/>
  <c r="AF716" i="1" s="1"/>
  <c r="AD716" i="1"/>
  <c r="AE715" i="1"/>
  <c r="AF715" i="1" s="1"/>
  <c r="AD715" i="1"/>
  <c r="AE714" i="1"/>
  <c r="AF714" i="1" s="1"/>
  <c r="AD714" i="1"/>
  <c r="AE713" i="1"/>
  <c r="AF713" i="1" s="1"/>
  <c r="AD713" i="1"/>
  <c r="AE712" i="1"/>
  <c r="AF712" i="1" s="1"/>
  <c r="AD712" i="1"/>
  <c r="AE711" i="1"/>
  <c r="AF711" i="1" s="1"/>
  <c r="AD711" i="1"/>
  <c r="AE710" i="1"/>
  <c r="AF710" i="1" s="1"/>
  <c r="AD710" i="1"/>
  <c r="AE709" i="1"/>
  <c r="AF709" i="1" s="1"/>
  <c r="AD709" i="1"/>
  <c r="AE708" i="1"/>
  <c r="AF708" i="1" s="1"/>
  <c r="AD708" i="1"/>
  <c r="AE707" i="1"/>
  <c r="AF707" i="1" s="1"/>
  <c r="AD707" i="1"/>
  <c r="AE706" i="1"/>
  <c r="AF706" i="1" s="1"/>
  <c r="AD706" i="1"/>
  <c r="AE705" i="1"/>
  <c r="AF705" i="1" s="1"/>
  <c r="AD705" i="1"/>
  <c r="AE704" i="1"/>
  <c r="AF704" i="1" s="1"/>
  <c r="AD704" i="1"/>
  <c r="AE703" i="1"/>
  <c r="AF703" i="1" s="1"/>
  <c r="AD703" i="1"/>
  <c r="AE702" i="1"/>
  <c r="AF702" i="1" s="1"/>
  <c r="AD702" i="1"/>
  <c r="AE701" i="1"/>
  <c r="AF701" i="1" s="1"/>
  <c r="AD701" i="1"/>
  <c r="AE700" i="1"/>
  <c r="AF700" i="1" s="1"/>
  <c r="AD700" i="1"/>
  <c r="AE699" i="1"/>
  <c r="AF699" i="1" s="1"/>
  <c r="AD699" i="1"/>
  <c r="AE698" i="1"/>
  <c r="AF698" i="1" s="1"/>
  <c r="AD698" i="1"/>
  <c r="AE697" i="1"/>
  <c r="AF697" i="1" s="1"/>
  <c r="AD697" i="1"/>
  <c r="AE696" i="1"/>
  <c r="AF696" i="1" s="1"/>
  <c r="AD696" i="1"/>
  <c r="AE695" i="1"/>
  <c r="AF695" i="1" s="1"/>
  <c r="AD695" i="1"/>
  <c r="AE694" i="1"/>
  <c r="AF694" i="1" s="1"/>
  <c r="AD694" i="1"/>
  <c r="AE693" i="1"/>
  <c r="AF693" i="1" s="1"/>
  <c r="AD693" i="1"/>
  <c r="AE692" i="1"/>
  <c r="AF692" i="1" s="1"/>
  <c r="AD692" i="1"/>
  <c r="AE691" i="1"/>
  <c r="AF691" i="1" s="1"/>
  <c r="AD691" i="1"/>
  <c r="AE690" i="1"/>
  <c r="AF690" i="1" s="1"/>
  <c r="AD690" i="1"/>
  <c r="AE689" i="1"/>
  <c r="AF689" i="1" s="1"/>
  <c r="AD689" i="1"/>
  <c r="AE688" i="1"/>
  <c r="AF688" i="1" s="1"/>
  <c r="AD688" i="1"/>
  <c r="AE687" i="1"/>
  <c r="AF687" i="1" s="1"/>
  <c r="AD687" i="1"/>
  <c r="AE686" i="1"/>
  <c r="AF686" i="1" s="1"/>
  <c r="AD686" i="1"/>
  <c r="AE685" i="1"/>
  <c r="AF685" i="1" s="1"/>
  <c r="AD685" i="1"/>
  <c r="AE684" i="1"/>
  <c r="AF684" i="1" s="1"/>
  <c r="AD684" i="1"/>
  <c r="AE683" i="1"/>
  <c r="AF683" i="1" s="1"/>
  <c r="AD683" i="1"/>
  <c r="AE682" i="1"/>
  <c r="AF682" i="1" s="1"/>
  <c r="AD682" i="1"/>
  <c r="AE681" i="1"/>
  <c r="AF681" i="1" s="1"/>
  <c r="AD681" i="1"/>
  <c r="AE680" i="1"/>
  <c r="AF680" i="1" s="1"/>
  <c r="AD680" i="1"/>
  <c r="AE679" i="1"/>
  <c r="AF679" i="1" s="1"/>
  <c r="AD679" i="1"/>
  <c r="AE678" i="1"/>
  <c r="AF678" i="1" s="1"/>
  <c r="AD678" i="1"/>
  <c r="AE677" i="1"/>
  <c r="AF677" i="1" s="1"/>
  <c r="AD677" i="1"/>
  <c r="AE676" i="1"/>
  <c r="AF676" i="1" s="1"/>
  <c r="AD676" i="1"/>
  <c r="AE675" i="1"/>
  <c r="AF675" i="1" s="1"/>
  <c r="AD675" i="1"/>
  <c r="AE674" i="1"/>
  <c r="AF674" i="1" s="1"/>
  <c r="AD674" i="1"/>
  <c r="AE673" i="1"/>
  <c r="AF673" i="1" s="1"/>
  <c r="AD673" i="1"/>
  <c r="AE672" i="1"/>
  <c r="AF672" i="1" s="1"/>
  <c r="AD672" i="1"/>
  <c r="AE671" i="1"/>
  <c r="AF671" i="1" s="1"/>
  <c r="AD671" i="1"/>
  <c r="AE670" i="1"/>
  <c r="AF670" i="1" s="1"/>
  <c r="AD670" i="1"/>
  <c r="AE669" i="1"/>
  <c r="AF669" i="1" s="1"/>
  <c r="AD669" i="1"/>
  <c r="AE668" i="1"/>
  <c r="AF668" i="1" s="1"/>
  <c r="AD668" i="1"/>
  <c r="AE667" i="1"/>
  <c r="AF667" i="1" s="1"/>
  <c r="AD667" i="1"/>
  <c r="AE666" i="1"/>
  <c r="AF666" i="1" s="1"/>
  <c r="AD666" i="1"/>
  <c r="AE665" i="1"/>
  <c r="AF665" i="1" s="1"/>
  <c r="AD665" i="1"/>
  <c r="AE664" i="1"/>
  <c r="AF664" i="1" s="1"/>
  <c r="AD664" i="1"/>
  <c r="AE663" i="1"/>
  <c r="AF663" i="1" s="1"/>
  <c r="AD663" i="1"/>
  <c r="AE662" i="1"/>
  <c r="AF662" i="1" s="1"/>
  <c r="AD662" i="1"/>
  <c r="AE661" i="1"/>
  <c r="AF661" i="1" s="1"/>
  <c r="AD661" i="1"/>
  <c r="AE660" i="1"/>
  <c r="AF660" i="1" s="1"/>
  <c r="AD660" i="1"/>
  <c r="AE659" i="1"/>
  <c r="AF659" i="1" s="1"/>
  <c r="AD659" i="1"/>
  <c r="AE658" i="1"/>
  <c r="AF658" i="1" s="1"/>
  <c r="AD658" i="1"/>
  <c r="AE657" i="1"/>
  <c r="AF657" i="1" s="1"/>
  <c r="AD657" i="1"/>
  <c r="AE656" i="1"/>
  <c r="AF656" i="1" s="1"/>
  <c r="AD656" i="1"/>
  <c r="AE655" i="1"/>
  <c r="AF655" i="1" s="1"/>
  <c r="AD655" i="1"/>
  <c r="AE654" i="1"/>
  <c r="AF654" i="1" s="1"/>
  <c r="AD654" i="1"/>
  <c r="AE653" i="1"/>
  <c r="AF653" i="1" s="1"/>
  <c r="AD653" i="1"/>
  <c r="AE652" i="1"/>
  <c r="AF652" i="1" s="1"/>
  <c r="AD652" i="1"/>
  <c r="AE651" i="1"/>
  <c r="AF651" i="1" s="1"/>
  <c r="AD651" i="1"/>
  <c r="AE650" i="1"/>
  <c r="AF650" i="1" s="1"/>
  <c r="AD650" i="1"/>
  <c r="AE649" i="1"/>
  <c r="AF649" i="1" s="1"/>
  <c r="AD649" i="1"/>
  <c r="AE648" i="1"/>
  <c r="AF648" i="1" s="1"/>
  <c r="AD648" i="1"/>
  <c r="AE647" i="1"/>
  <c r="AF647" i="1" s="1"/>
  <c r="AD647" i="1"/>
  <c r="AE646" i="1"/>
  <c r="AF646" i="1" s="1"/>
  <c r="AD646" i="1"/>
  <c r="AE645" i="1"/>
  <c r="AF645" i="1" s="1"/>
  <c r="AD645" i="1"/>
  <c r="AE644" i="1"/>
  <c r="AF644" i="1" s="1"/>
  <c r="AD644" i="1"/>
  <c r="AE643" i="1"/>
  <c r="AF643" i="1" s="1"/>
  <c r="AD643" i="1"/>
  <c r="AE642" i="1"/>
  <c r="AF642" i="1" s="1"/>
  <c r="AD642" i="1"/>
  <c r="AE641" i="1"/>
  <c r="AF641" i="1" s="1"/>
  <c r="AD641" i="1"/>
  <c r="AE640" i="1"/>
  <c r="AF640" i="1" s="1"/>
  <c r="AD640" i="1"/>
  <c r="AE639" i="1"/>
  <c r="AF639" i="1" s="1"/>
  <c r="AD639" i="1"/>
  <c r="AE638" i="1"/>
  <c r="AF638" i="1" s="1"/>
  <c r="AD638" i="1"/>
  <c r="AE637" i="1"/>
  <c r="AF637" i="1" s="1"/>
  <c r="AD637" i="1"/>
  <c r="AE636" i="1"/>
  <c r="AF636" i="1" s="1"/>
  <c r="AD636" i="1"/>
  <c r="AE635" i="1"/>
  <c r="AF635" i="1" s="1"/>
  <c r="AD635" i="1"/>
  <c r="AE634" i="1"/>
  <c r="AF634" i="1" s="1"/>
  <c r="AD634" i="1"/>
  <c r="AE633" i="1"/>
  <c r="AF633" i="1" s="1"/>
  <c r="AD633" i="1"/>
  <c r="AE632" i="1"/>
  <c r="AF632" i="1" s="1"/>
  <c r="AD632" i="1"/>
  <c r="AE631" i="1"/>
  <c r="AF631" i="1" s="1"/>
  <c r="AD631" i="1"/>
  <c r="AE630" i="1"/>
  <c r="AF630" i="1" s="1"/>
  <c r="AD630" i="1"/>
  <c r="AE629" i="1"/>
  <c r="AF629" i="1" s="1"/>
  <c r="AD629" i="1"/>
  <c r="AE628" i="1"/>
  <c r="AF628" i="1" s="1"/>
  <c r="AD628" i="1"/>
  <c r="AE627" i="1"/>
  <c r="AF627" i="1" s="1"/>
  <c r="AD627" i="1"/>
  <c r="AE626" i="1"/>
  <c r="AF626" i="1" s="1"/>
  <c r="AD626" i="1"/>
  <c r="AE625" i="1"/>
  <c r="AF625" i="1" s="1"/>
  <c r="AD625" i="1"/>
  <c r="AE624" i="1"/>
  <c r="AF624" i="1" s="1"/>
  <c r="AD624" i="1"/>
  <c r="AE623" i="1"/>
  <c r="AF623" i="1" s="1"/>
  <c r="AD623" i="1"/>
  <c r="AE622" i="1"/>
  <c r="AF622" i="1" s="1"/>
  <c r="AD622" i="1"/>
  <c r="AE621" i="1"/>
  <c r="AF621" i="1" s="1"/>
  <c r="AD621" i="1"/>
  <c r="AE620" i="1"/>
  <c r="AF620" i="1" s="1"/>
  <c r="AD620" i="1"/>
  <c r="AE619" i="1"/>
  <c r="AF619" i="1" s="1"/>
  <c r="AD619" i="1"/>
  <c r="AE618" i="1"/>
  <c r="AF618" i="1" s="1"/>
  <c r="AD618" i="1"/>
  <c r="AE617" i="1"/>
  <c r="AF617" i="1" s="1"/>
  <c r="AD617" i="1"/>
  <c r="AE616" i="1"/>
  <c r="AF616" i="1" s="1"/>
  <c r="AD616" i="1"/>
  <c r="AE615" i="1"/>
  <c r="AF615" i="1" s="1"/>
  <c r="AD615" i="1"/>
  <c r="AE614" i="1"/>
  <c r="AF614" i="1" s="1"/>
  <c r="AD614" i="1"/>
  <c r="AE613" i="1"/>
  <c r="AF613" i="1" s="1"/>
  <c r="AD613" i="1"/>
  <c r="AE612" i="1"/>
  <c r="AF612" i="1" s="1"/>
  <c r="AD612" i="1"/>
  <c r="AE611" i="1"/>
  <c r="AF611" i="1" s="1"/>
  <c r="AD611" i="1"/>
  <c r="AE610" i="1"/>
  <c r="AF610" i="1" s="1"/>
  <c r="AD610" i="1"/>
  <c r="AE609" i="1"/>
  <c r="AF609" i="1" s="1"/>
  <c r="AD609" i="1"/>
  <c r="AE608" i="1"/>
  <c r="AF608" i="1" s="1"/>
  <c r="AD608" i="1"/>
  <c r="AE607" i="1"/>
  <c r="AF607" i="1" s="1"/>
  <c r="AD607" i="1"/>
  <c r="AE606" i="1"/>
  <c r="AF606" i="1" s="1"/>
  <c r="AD606" i="1"/>
  <c r="AE605" i="1"/>
  <c r="AF605" i="1" s="1"/>
  <c r="AD605" i="1"/>
  <c r="AE604" i="1"/>
  <c r="AF604" i="1" s="1"/>
  <c r="AD604" i="1"/>
  <c r="AE603" i="1"/>
  <c r="AF603" i="1" s="1"/>
  <c r="AD603" i="1"/>
  <c r="AE602" i="1"/>
  <c r="AF602" i="1" s="1"/>
  <c r="AD602" i="1"/>
  <c r="AE601" i="1"/>
  <c r="AF601" i="1" s="1"/>
  <c r="AD601" i="1"/>
  <c r="AE600" i="1"/>
  <c r="AF600" i="1" s="1"/>
  <c r="AD600" i="1"/>
  <c r="AE599" i="1"/>
  <c r="AF599" i="1" s="1"/>
  <c r="AD599" i="1"/>
  <c r="AE598" i="1"/>
  <c r="AF598" i="1" s="1"/>
  <c r="AD598" i="1"/>
  <c r="AE597" i="1"/>
  <c r="AF597" i="1" s="1"/>
  <c r="AD597" i="1"/>
  <c r="AE596" i="1"/>
  <c r="AF596" i="1" s="1"/>
  <c r="AD596" i="1"/>
  <c r="AE595" i="1"/>
  <c r="AF595" i="1" s="1"/>
  <c r="AD595" i="1"/>
  <c r="AE594" i="1"/>
  <c r="AF594" i="1" s="1"/>
  <c r="AD594" i="1"/>
  <c r="AE593" i="1"/>
  <c r="AF593" i="1" s="1"/>
  <c r="AD593" i="1"/>
  <c r="AE592" i="1"/>
  <c r="AF592" i="1" s="1"/>
  <c r="AD592" i="1"/>
  <c r="AE591" i="1"/>
  <c r="AF591" i="1" s="1"/>
  <c r="AD591" i="1"/>
  <c r="AE590" i="1"/>
  <c r="AF590" i="1" s="1"/>
  <c r="AD590" i="1"/>
  <c r="AE589" i="1"/>
  <c r="AF589" i="1" s="1"/>
  <c r="AD589" i="1"/>
  <c r="AE588" i="1"/>
  <c r="AF588" i="1" s="1"/>
  <c r="AD588" i="1"/>
  <c r="AE587" i="1"/>
  <c r="AF587" i="1" s="1"/>
  <c r="AD587" i="1"/>
  <c r="AE586" i="1"/>
  <c r="AF586" i="1" s="1"/>
  <c r="AD586" i="1"/>
  <c r="AE585" i="1"/>
  <c r="AF585" i="1" s="1"/>
  <c r="AD585" i="1"/>
  <c r="AE584" i="1"/>
  <c r="AF584" i="1" s="1"/>
  <c r="AD584" i="1"/>
  <c r="AE583" i="1"/>
  <c r="AF583" i="1" s="1"/>
  <c r="AD583" i="1"/>
  <c r="AE582" i="1"/>
  <c r="AF582" i="1" s="1"/>
  <c r="AD582" i="1"/>
  <c r="AE581" i="1"/>
  <c r="AF581" i="1" s="1"/>
  <c r="AD581" i="1"/>
  <c r="AE580" i="1"/>
  <c r="AF580" i="1" s="1"/>
  <c r="AD580" i="1"/>
  <c r="AE579" i="1"/>
  <c r="AF579" i="1" s="1"/>
  <c r="AD579" i="1"/>
  <c r="AE578" i="1"/>
  <c r="AF578" i="1" s="1"/>
  <c r="AD578" i="1"/>
  <c r="AE577" i="1"/>
  <c r="AF577" i="1" s="1"/>
  <c r="AD577" i="1"/>
  <c r="AE576" i="1"/>
  <c r="AF576" i="1" s="1"/>
  <c r="AD576" i="1"/>
  <c r="AE575" i="1"/>
  <c r="AF575" i="1" s="1"/>
  <c r="AD575" i="1"/>
  <c r="AE574" i="1"/>
  <c r="AF574" i="1" s="1"/>
  <c r="AD574" i="1"/>
  <c r="AE573" i="1"/>
  <c r="AF573" i="1" s="1"/>
  <c r="AD573" i="1"/>
  <c r="AE572" i="1"/>
  <c r="AF572" i="1" s="1"/>
  <c r="AD572" i="1"/>
  <c r="AE571" i="1"/>
  <c r="AF571" i="1" s="1"/>
  <c r="AD571" i="1"/>
  <c r="AE570" i="1"/>
  <c r="AF570" i="1" s="1"/>
  <c r="AD570" i="1"/>
  <c r="AE569" i="1"/>
  <c r="AF569" i="1" s="1"/>
  <c r="AD569" i="1"/>
  <c r="AE568" i="1"/>
  <c r="AF568" i="1" s="1"/>
  <c r="AD568" i="1"/>
  <c r="AE567" i="1"/>
  <c r="AF567" i="1" s="1"/>
  <c r="AD567" i="1"/>
  <c r="AE566" i="1"/>
  <c r="AF566" i="1" s="1"/>
  <c r="AD566" i="1"/>
  <c r="AE565" i="1"/>
  <c r="AF565" i="1" s="1"/>
  <c r="AD565" i="1"/>
  <c r="AE564" i="1"/>
  <c r="AF564" i="1" s="1"/>
  <c r="AD564" i="1"/>
  <c r="AE563" i="1"/>
  <c r="AF563" i="1" s="1"/>
  <c r="AD563" i="1"/>
  <c r="AE562" i="1"/>
  <c r="AF562" i="1" s="1"/>
  <c r="AD562" i="1"/>
  <c r="AE561" i="1"/>
  <c r="AF561" i="1" s="1"/>
  <c r="AD561" i="1"/>
  <c r="AE560" i="1"/>
  <c r="AF560" i="1" s="1"/>
  <c r="AD560" i="1"/>
  <c r="AE559" i="1"/>
  <c r="AF559" i="1" s="1"/>
  <c r="AD559" i="1"/>
  <c r="AE558" i="1"/>
  <c r="AF558" i="1" s="1"/>
  <c r="AD558" i="1"/>
  <c r="AE557" i="1"/>
  <c r="AF557" i="1" s="1"/>
  <c r="AD557" i="1"/>
  <c r="AE556" i="1"/>
  <c r="AF556" i="1" s="1"/>
  <c r="AD556" i="1"/>
  <c r="AE555" i="1"/>
  <c r="AF555" i="1" s="1"/>
  <c r="AD555" i="1"/>
  <c r="AE554" i="1"/>
  <c r="AF554" i="1" s="1"/>
  <c r="AD554" i="1"/>
  <c r="AE553" i="1"/>
  <c r="AF553" i="1" s="1"/>
  <c r="AD553" i="1"/>
  <c r="AE552" i="1"/>
  <c r="AF552" i="1" s="1"/>
  <c r="AD552" i="1"/>
  <c r="AE551" i="1"/>
  <c r="AF551" i="1" s="1"/>
  <c r="AD551" i="1"/>
  <c r="AE550" i="1"/>
  <c r="AF550" i="1" s="1"/>
  <c r="AD550" i="1"/>
  <c r="AE549" i="1"/>
  <c r="AF549" i="1" s="1"/>
  <c r="AD549" i="1"/>
  <c r="AE548" i="1"/>
  <c r="AF548" i="1" s="1"/>
  <c r="AD548" i="1"/>
  <c r="AE547" i="1"/>
  <c r="AF547" i="1" s="1"/>
  <c r="AD547" i="1"/>
  <c r="AE546" i="1"/>
  <c r="AF546" i="1" s="1"/>
  <c r="AD546" i="1"/>
  <c r="AE545" i="1"/>
  <c r="AF545" i="1" s="1"/>
  <c r="AD545" i="1"/>
  <c r="AE544" i="1"/>
  <c r="AF544" i="1" s="1"/>
  <c r="AD544" i="1"/>
  <c r="AE543" i="1"/>
  <c r="AF543" i="1" s="1"/>
  <c r="AD543" i="1"/>
  <c r="AE542" i="1"/>
  <c r="AF542" i="1" s="1"/>
  <c r="AD542" i="1"/>
  <c r="AE541" i="1"/>
  <c r="AF541" i="1" s="1"/>
  <c r="AD541" i="1"/>
  <c r="AE540" i="1"/>
  <c r="AF540" i="1" s="1"/>
  <c r="AD540" i="1"/>
  <c r="AE539" i="1"/>
  <c r="AF539" i="1" s="1"/>
  <c r="AD539" i="1"/>
  <c r="AE538" i="1"/>
  <c r="AF538" i="1" s="1"/>
  <c r="AD538" i="1"/>
  <c r="AE537" i="1"/>
  <c r="AF537" i="1" s="1"/>
  <c r="AD537" i="1"/>
  <c r="AE536" i="1"/>
  <c r="AF536" i="1" s="1"/>
  <c r="AD536" i="1"/>
  <c r="AE535" i="1"/>
  <c r="AF535" i="1" s="1"/>
  <c r="AD535" i="1"/>
  <c r="AE534" i="1"/>
  <c r="AF534" i="1" s="1"/>
  <c r="AD534" i="1"/>
  <c r="AE533" i="1"/>
  <c r="AF533" i="1" s="1"/>
  <c r="AD533" i="1"/>
  <c r="AE532" i="1"/>
  <c r="AF532" i="1" s="1"/>
  <c r="AD532" i="1"/>
  <c r="AE531" i="1"/>
  <c r="AF531" i="1" s="1"/>
  <c r="AD531" i="1"/>
  <c r="AE530" i="1"/>
  <c r="AF530" i="1" s="1"/>
  <c r="AD530" i="1"/>
  <c r="AE529" i="1"/>
  <c r="AF529" i="1" s="1"/>
  <c r="AD529" i="1"/>
  <c r="AE528" i="1"/>
  <c r="AF528" i="1" s="1"/>
  <c r="AD528" i="1"/>
  <c r="AE527" i="1"/>
  <c r="AF527" i="1" s="1"/>
  <c r="AD527" i="1"/>
  <c r="AE526" i="1"/>
  <c r="AF526" i="1" s="1"/>
  <c r="AD526" i="1"/>
  <c r="AE525" i="1"/>
  <c r="AF525" i="1" s="1"/>
  <c r="AD525" i="1"/>
  <c r="AE524" i="1"/>
  <c r="AF524" i="1" s="1"/>
  <c r="AD524" i="1"/>
  <c r="AE523" i="1"/>
  <c r="AF523" i="1" s="1"/>
  <c r="AD523" i="1"/>
  <c r="AE522" i="1"/>
  <c r="AF522" i="1" s="1"/>
  <c r="AD522" i="1"/>
  <c r="AE521" i="1"/>
  <c r="AF521" i="1" s="1"/>
  <c r="AD521" i="1"/>
  <c r="AE520" i="1"/>
  <c r="AF520" i="1" s="1"/>
  <c r="AD520" i="1"/>
  <c r="AE519" i="1"/>
  <c r="AF519" i="1" s="1"/>
  <c r="AD519" i="1"/>
  <c r="AE518" i="1"/>
  <c r="AF518" i="1" s="1"/>
  <c r="AD518" i="1"/>
  <c r="AE517" i="1"/>
  <c r="AF517" i="1" s="1"/>
  <c r="AD517" i="1"/>
  <c r="AE516" i="1"/>
  <c r="AF516" i="1" s="1"/>
  <c r="AD516" i="1"/>
  <c r="AE515" i="1"/>
  <c r="AF515" i="1" s="1"/>
  <c r="AD515" i="1"/>
  <c r="AE514" i="1"/>
  <c r="AF514" i="1" s="1"/>
  <c r="AD514" i="1"/>
  <c r="AE513" i="1"/>
  <c r="AF513" i="1" s="1"/>
  <c r="AD513" i="1"/>
  <c r="AE512" i="1"/>
  <c r="AF512" i="1" s="1"/>
  <c r="AD512" i="1"/>
  <c r="AE511" i="1"/>
  <c r="AF511" i="1" s="1"/>
  <c r="AD511" i="1"/>
  <c r="AE510" i="1"/>
  <c r="AF510" i="1" s="1"/>
  <c r="AD510" i="1"/>
  <c r="AE509" i="1"/>
  <c r="AF509" i="1" s="1"/>
  <c r="AD509" i="1"/>
  <c r="AE508" i="1"/>
  <c r="AF508" i="1" s="1"/>
  <c r="AD508" i="1"/>
  <c r="AE507" i="1"/>
  <c r="AF507" i="1" s="1"/>
  <c r="AD507" i="1"/>
  <c r="AE506" i="1"/>
  <c r="AF506" i="1" s="1"/>
  <c r="AD506" i="1"/>
  <c r="AE505" i="1"/>
  <c r="AF505" i="1" s="1"/>
  <c r="AD505" i="1"/>
  <c r="AE504" i="1"/>
  <c r="AF504" i="1" s="1"/>
  <c r="AD504" i="1"/>
  <c r="AE503" i="1"/>
  <c r="AF503" i="1" s="1"/>
  <c r="AD503" i="1"/>
  <c r="AE502" i="1"/>
  <c r="AF502" i="1" s="1"/>
  <c r="AD502" i="1"/>
  <c r="AE501" i="1"/>
  <c r="AF501" i="1" s="1"/>
  <c r="AD501" i="1"/>
  <c r="AE500" i="1"/>
  <c r="AF500" i="1" s="1"/>
  <c r="AD500" i="1"/>
  <c r="AE499" i="1"/>
  <c r="AF499" i="1" s="1"/>
  <c r="AD499" i="1"/>
  <c r="AE498" i="1"/>
  <c r="AF498" i="1" s="1"/>
  <c r="AD498" i="1"/>
  <c r="AE497" i="1"/>
  <c r="AF497" i="1" s="1"/>
  <c r="AD497" i="1"/>
  <c r="AE496" i="1"/>
  <c r="AF496" i="1" s="1"/>
  <c r="AD496" i="1"/>
  <c r="AE495" i="1"/>
  <c r="AF495" i="1" s="1"/>
  <c r="AD495" i="1"/>
  <c r="AE494" i="1"/>
  <c r="AF494" i="1" s="1"/>
  <c r="AD494" i="1"/>
  <c r="AE493" i="1"/>
  <c r="AF493" i="1" s="1"/>
  <c r="AD493" i="1"/>
  <c r="AE492" i="1"/>
  <c r="AF492" i="1" s="1"/>
  <c r="AD492" i="1"/>
  <c r="AE491" i="1"/>
  <c r="AF491" i="1" s="1"/>
  <c r="AD491" i="1"/>
  <c r="AE490" i="1"/>
  <c r="AF490" i="1" s="1"/>
  <c r="AD490" i="1"/>
  <c r="AE489" i="1"/>
  <c r="AF489" i="1" s="1"/>
  <c r="AD489" i="1"/>
  <c r="AE488" i="1"/>
  <c r="AF488" i="1" s="1"/>
  <c r="AD488" i="1"/>
  <c r="AE487" i="1"/>
  <c r="AF487" i="1" s="1"/>
  <c r="AD487" i="1"/>
  <c r="AE486" i="1"/>
  <c r="AF486" i="1" s="1"/>
  <c r="AD486" i="1"/>
  <c r="AE485" i="1"/>
  <c r="AF485" i="1" s="1"/>
  <c r="AD485" i="1"/>
  <c r="AE484" i="1"/>
  <c r="AF484" i="1" s="1"/>
  <c r="AD484" i="1"/>
  <c r="AE483" i="1"/>
  <c r="AF483" i="1" s="1"/>
  <c r="AD483" i="1"/>
  <c r="AE482" i="1"/>
  <c r="AF482" i="1" s="1"/>
  <c r="AD482" i="1"/>
  <c r="AE481" i="1"/>
  <c r="AF481" i="1" s="1"/>
  <c r="AD481" i="1"/>
  <c r="AE480" i="1"/>
  <c r="AF480" i="1" s="1"/>
  <c r="AD480" i="1"/>
  <c r="AE479" i="1"/>
  <c r="AF479" i="1" s="1"/>
  <c r="AD479" i="1"/>
  <c r="AE478" i="1"/>
  <c r="AF478" i="1" s="1"/>
  <c r="AD478" i="1"/>
  <c r="AE477" i="1"/>
  <c r="AF477" i="1" s="1"/>
  <c r="AD477" i="1"/>
  <c r="AE476" i="1"/>
  <c r="AF476" i="1" s="1"/>
  <c r="AD476" i="1"/>
  <c r="AE475" i="1"/>
  <c r="AF475" i="1" s="1"/>
  <c r="AD475" i="1"/>
  <c r="AE474" i="1"/>
  <c r="AF474" i="1" s="1"/>
  <c r="AD474" i="1"/>
  <c r="AE473" i="1"/>
  <c r="AF473" i="1" s="1"/>
  <c r="AD473" i="1"/>
  <c r="AE472" i="1"/>
  <c r="AF472" i="1" s="1"/>
  <c r="AD472" i="1"/>
  <c r="AE471" i="1"/>
  <c r="AF471" i="1" s="1"/>
  <c r="AD471" i="1"/>
  <c r="AE470" i="1"/>
  <c r="AF470" i="1" s="1"/>
  <c r="AD470" i="1"/>
  <c r="AE469" i="1"/>
  <c r="AF469" i="1" s="1"/>
  <c r="AD469" i="1"/>
  <c r="AE468" i="1"/>
  <c r="AF468" i="1" s="1"/>
  <c r="AD468" i="1"/>
  <c r="AE467" i="1"/>
  <c r="AF467" i="1" s="1"/>
  <c r="AD467" i="1"/>
  <c r="AE466" i="1"/>
  <c r="AF466" i="1" s="1"/>
  <c r="AD466" i="1"/>
  <c r="AE465" i="1"/>
  <c r="AF465" i="1" s="1"/>
  <c r="AD465" i="1"/>
  <c r="AE464" i="1"/>
  <c r="AF464" i="1" s="1"/>
  <c r="AD464" i="1"/>
  <c r="AE463" i="1"/>
  <c r="AF463" i="1" s="1"/>
  <c r="AD463" i="1"/>
  <c r="AE462" i="1"/>
  <c r="AF462" i="1" s="1"/>
  <c r="AD462" i="1"/>
  <c r="AE461" i="1"/>
  <c r="AF461" i="1" s="1"/>
  <c r="AD461" i="1"/>
  <c r="AE460" i="1"/>
  <c r="AF460" i="1" s="1"/>
  <c r="AD460" i="1"/>
  <c r="AE459" i="1"/>
  <c r="AF459" i="1" s="1"/>
  <c r="AD459" i="1"/>
  <c r="AE458" i="1"/>
  <c r="AF458" i="1" s="1"/>
  <c r="AD458" i="1"/>
  <c r="AE457" i="1"/>
  <c r="AF457" i="1" s="1"/>
  <c r="AD457" i="1"/>
  <c r="AE456" i="1"/>
  <c r="AF456" i="1" s="1"/>
  <c r="AD456" i="1"/>
  <c r="AE455" i="1"/>
  <c r="AF455" i="1" s="1"/>
  <c r="AD455" i="1"/>
  <c r="AE454" i="1"/>
  <c r="AF454" i="1" s="1"/>
  <c r="AD454" i="1"/>
  <c r="AE453" i="1"/>
  <c r="AF453" i="1" s="1"/>
  <c r="AD453" i="1"/>
  <c r="AE452" i="1"/>
  <c r="AF452" i="1" s="1"/>
  <c r="AD452" i="1"/>
  <c r="AE451" i="1"/>
  <c r="AF451" i="1" s="1"/>
  <c r="AD451" i="1"/>
  <c r="AE450" i="1"/>
  <c r="AF450" i="1" s="1"/>
  <c r="AD450" i="1"/>
  <c r="AE449" i="1"/>
  <c r="AF449" i="1" s="1"/>
  <c r="AD449" i="1"/>
  <c r="AE448" i="1"/>
  <c r="AF448" i="1" s="1"/>
  <c r="AD448" i="1"/>
  <c r="AE447" i="1"/>
  <c r="AF447" i="1" s="1"/>
  <c r="AD447" i="1"/>
  <c r="AE446" i="1"/>
  <c r="AF446" i="1" s="1"/>
  <c r="AD446" i="1"/>
  <c r="AE445" i="1"/>
  <c r="AF445" i="1" s="1"/>
  <c r="AD445" i="1"/>
  <c r="AE444" i="1"/>
  <c r="AF444" i="1" s="1"/>
  <c r="AD444" i="1"/>
  <c r="AE443" i="1"/>
  <c r="AF443" i="1" s="1"/>
  <c r="AD443" i="1"/>
  <c r="AE442" i="1"/>
  <c r="AF442" i="1" s="1"/>
  <c r="AD442" i="1"/>
  <c r="AE441" i="1"/>
  <c r="AF441" i="1" s="1"/>
  <c r="AD441" i="1"/>
  <c r="AE440" i="1"/>
  <c r="AF440" i="1" s="1"/>
  <c r="AD440" i="1"/>
  <c r="AE439" i="1"/>
  <c r="AF439" i="1" s="1"/>
  <c r="AD439" i="1"/>
  <c r="AE438" i="1"/>
  <c r="AF438" i="1" s="1"/>
  <c r="AD438" i="1"/>
  <c r="AE437" i="1"/>
  <c r="AF437" i="1" s="1"/>
  <c r="AD437" i="1"/>
  <c r="AE436" i="1"/>
  <c r="AF436" i="1" s="1"/>
  <c r="AD436" i="1"/>
  <c r="AE435" i="1"/>
  <c r="AF435" i="1" s="1"/>
  <c r="AD435" i="1"/>
  <c r="AE434" i="1"/>
  <c r="AF434" i="1" s="1"/>
  <c r="AD434" i="1"/>
  <c r="AE433" i="1"/>
  <c r="AF433" i="1" s="1"/>
  <c r="AD433" i="1"/>
  <c r="AE432" i="1"/>
  <c r="AF432" i="1" s="1"/>
  <c r="AD432" i="1"/>
  <c r="AE431" i="1"/>
  <c r="AF431" i="1" s="1"/>
  <c r="AD431" i="1"/>
  <c r="AE430" i="1"/>
  <c r="AF430" i="1" s="1"/>
  <c r="AD430" i="1"/>
  <c r="AE429" i="1"/>
  <c r="AF429" i="1" s="1"/>
  <c r="AD429" i="1"/>
  <c r="AE428" i="1"/>
  <c r="AF428" i="1" s="1"/>
  <c r="AD428" i="1"/>
  <c r="AE427" i="1"/>
  <c r="AF427" i="1" s="1"/>
  <c r="AD427" i="1"/>
  <c r="AE426" i="1"/>
  <c r="AF426" i="1" s="1"/>
  <c r="AD426" i="1"/>
  <c r="AE425" i="1"/>
  <c r="AF425" i="1" s="1"/>
  <c r="AD425" i="1"/>
  <c r="AE424" i="1"/>
  <c r="AF424" i="1" s="1"/>
  <c r="AD424" i="1"/>
  <c r="AE423" i="1"/>
  <c r="AF423" i="1" s="1"/>
  <c r="AD423" i="1"/>
  <c r="AE422" i="1"/>
  <c r="AF422" i="1" s="1"/>
  <c r="AD422" i="1"/>
  <c r="AE421" i="1"/>
  <c r="AF421" i="1" s="1"/>
  <c r="AD421" i="1"/>
  <c r="AE420" i="1"/>
  <c r="AF420" i="1" s="1"/>
  <c r="AD420" i="1"/>
  <c r="AE419" i="1"/>
  <c r="AF419" i="1" s="1"/>
  <c r="AD419" i="1"/>
  <c r="AE418" i="1"/>
  <c r="AF418" i="1" s="1"/>
  <c r="AD418" i="1"/>
  <c r="AE417" i="1"/>
  <c r="AF417" i="1" s="1"/>
  <c r="AD417" i="1"/>
  <c r="AE416" i="1"/>
  <c r="AF416" i="1" s="1"/>
  <c r="AD416" i="1"/>
  <c r="AE415" i="1"/>
  <c r="AF415" i="1" s="1"/>
  <c r="AD415" i="1"/>
  <c r="AE414" i="1"/>
  <c r="AF414" i="1" s="1"/>
  <c r="AD414" i="1"/>
  <c r="AE413" i="1"/>
  <c r="AF413" i="1" s="1"/>
  <c r="AD413" i="1"/>
  <c r="AE412" i="1"/>
  <c r="AF412" i="1" s="1"/>
  <c r="AD412" i="1"/>
  <c r="AE411" i="1"/>
  <c r="AF411" i="1" s="1"/>
  <c r="AD411" i="1"/>
  <c r="AE410" i="1"/>
  <c r="AF410" i="1" s="1"/>
  <c r="AD410" i="1"/>
  <c r="AE409" i="1"/>
  <c r="AF409" i="1" s="1"/>
  <c r="AD409" i="1"/>
  <c r="AE408" i="1"/>
  <c r="AF408" i="1" s="1"/>
  <c r="AD408" i="1"/>
  <c r="AE407" i="1"/>
  <c r="AF407" i="1" s="1"/>
  <c r="AD407" i="1"/>
  <c r="AE406" i="1"/>
  <c r="AF406" i="1" s="1"/>
  <c r="AD406" i="1"/>
  <c r="AE405" i="1"/>
  <c r="AF405" i="1" s="1"/>
  <c r="AD405" i="1"/>
  <c r="AE404" i="1"/>
  <c r="AF404" i="1" s="1"/>
  <c r="AD404" i="1"/>
  <c r="AE403" i="1"/>
  <c r="AF403" i="1" s="1"/>
  <c r="AD403" i="1"/>
  <c r="AE402" i="1"/>
  <c r="AF402" i="1" s="1"/>
  <c r="AD402" i="1"/>
  <c r="AE401" i="1"/>
  <c r="AF401" i="1" s="1"/>
  <c r="AD401" i="1"/>
  <c r="AE400" i="1"/>
  <c r="AF400" i="1" s="1"/>
  <c r="AD400" i="1"/>
  <c r="AE399" i="1"/>
  <c r="AF399" i="1" s="1"/>
  <c r="AD399" i="1"/>
  <c r="AE398" i="1"/>
  <c r="AF398" i="1" s="1"/>
  <c r="AD398" i="1"/>
  <c r="AE397" i="1"/>
  <c r="AF397" i="1" s="1"/>
  <c r="AD397" i="1"/>
  <c r="AE396" i="1"/>
  <c r="AF396" i="1" s="1"/>
  <c r="AD396" i="1"/>
  <c r="AE395" i="1"/>
  <c r="AF395" i="1" s="1"/>
  <c r="AD395" i="1"/>
  <c r="AE394" i="1"/>
  <c r="AF394" i="1" s="1"/>
  <c r="AD394" i="1"/>
  <c r="AE393" i="1"/>
  <c r="AF393" i="1" s="1"/>
  <c r="AD393" i="1"/>
  <c r="AE392" i="1"/>
  <c r="AF392" i="1" s="1"/>
  <c r="AD392" i="1"/>
  <c r="AE391" i="1"/>
  <c r="AF391" i="1" s="1"/>
  <c r="AD391" i="1"/>
  <c r="AE390" i="1"/>
  <c r="AF390" i="1" s="1"/>
  <c r="AD390" i="1"/>
  <c r="AE389" i="1"/>
  <c r="AF389" i="1" s="1"/>
  <c r="AD389" i="1"/>
  <c r="AE388" i="1"/>
  <c r="AF388" i="1" s="1"/>
  <c r="AD388" i="1"/>
  <c r="AE387" i="1"/>
  <c r="AF387" i="1" s="1"/>
  <c r="AD387" i="1"/>
  <c r="AE386" i="1"/>
  <c r="AF386" i="1" s="1"/>
  <c r="AD386" i="1"/>
  <c r="AE385" i="1"/>
  <c r="AF385" i="1" s="1"/>
  <c r="AD385" i="1"/>
  <c r="AE384" i="1"/>
  <c r="AF384" i="1" s="1"/>
  <c r="AD384" i="1"/>
  <c r="AE383" i="1"/>
  <c r="AF383" i="1" s="1"/>
  <c r="AD383" i="1"/>
  <c r="AE382" i="1"/>
  <c r="AF382" i="1" s="1"/>
  <c r="AD382" i="1"/>
  <c r="AE381" i="1"/>
  <c r="AF381" i="1" s="1"/>
  <c r="AD381" i="1"/>
  <c r="AE380" i="1"/>
  <c r="AF380" i="1" s="1"/>
  <c r="AD380" i="1"/>
  <c r="AE379" i="1"/>
  <c r="AF379" i="1" s="1"/>
  <c r="AD379" i="1"/>
  <c r="AE378" i="1"/>
  <c r="AF378" i="1" s="1"/>
  <c r="AD378" i="1"/>
  <c r="AE377" i="1"/>
  <c r="AF377" i="1" s="1"/>
  <c r="AD377" i="1"/>
  <c r="AE376" i="1"/>
  <c r="AF376" i="1" s="1"/>
  <c r="AD376" i="1"/>
  <c r="AE375" i="1"/>
  <c r="AF375" i="1" s="1"/>
  <c r="AD375" i="1"/>
  <c r="AE374" i="1"/>
  <c r="AF374" i="1" s="1"/>
  <c r="AD374" i="1"/>
  <c r="AE373" i="1"/>
  <c r="AF373" i="1" s="1"/>
  <c r="AD373" i="1"/>
  <c r="AE372" i="1"/>
  <c r="AF372" i="1" s="1"/>
  <c r="AD372" i="1"/>
  <c r="AE371" i="1"/>
  <c r="AF371" i="1" s="1"/>
  <c r="AD371" i="1"/>
  <c r="AE370" i="1"/>
  <c r="AF370" i="1" s="1"/>
  <c r="AD370" i="1"/>
  <c r="AE369" i="1"/>
  <c r="AF369" i="1" s="1"/>
  <c r="AD369" i="1"/>
  <c r="AE368" i="1"/>
  <c r="AF368" i="1" s="1"/>
  <c r="AD368" i="1"/>
  <c r="AE367" i="1"/>
  <c r="AF367" i="1" s="1"/>
  <c r="AD367" i="1"/>
  <c r="AE366" i="1"/>
  <c r="AF366" i="1" s="1"/>
  <c r="AD366" i="1"/>
  <c r="AE365" i="1"/>
  <c r="AF365" i="1" s="1"/>
  <c r="AD365" i="1"/>
  <c r="AE364" i="1"/>
  <c r="AF364" i="1" s="1"/>
  <c r="AD364" i="1"/>
  <c r="AE363" i="1"/>
  <c r="AF363" i="1" s="1"/>
  <c r="AD363" i="1"/>
  <c r="AE362" i="1"/>
  <c r="AF362" i="1" s="1"/>
  <c r="AD362" i="1"/>
  <c r="AE361" i="1"/>
  <c r="AF361" i="1" s="1"/>
  <c r="AD361" i="1"/>
  <c r="AE360" i="1"/>
  <c r="AF360" i="1" s="1"/>
  <c r="AD360" i="1"/>
  <c r="AE359" i="1"/>
  <c r="AF359" i="1" s="1"/>
  <c r="AD359" i="1"/>
  <c r="AE358" i="1"/>
  <c r="AF358" i="1" s="1"/>
  <c r="AD358" i="1"/>
  <c r="AE357" i="1"/>
  <c r="AF357" i="1" s="1"/>
  <c r="AD357" i="1"/>
  <c r="AE356" i="1"/>
  <c r="AF356" i="1" s="1"/>
  <c r="AD356" i="1"/>
  <c r="AE355" i="1"/>
  <c r="AF355" i="1" s="1"/>
  <c r="AD355" i="1"/>
  <c r="AE354" i="1"/>
  <c r="AF354" i="1" s="1"/>
  <c r="AD354" i="1"/>
  <c r="AE353" i="1"/>
  <c r="AF353" i="1" s="1"/>
  <c r="AD353" i="1"/>
  <c r="AE352" i="1"/>
  <c r="AF352" i="1" s="1"/>
  <c r="AD352" i="1"/>
  <c r="AE351" i="1"/>
  <c r="AF351" i="1" s="1"/>
  <c r="AD351" i="1"/>
  <c r="AE350" i="1"/>
  <c r="AF350" i="1" s="1"/>
  <c r="AD350" i="1"/>
  <c r="AE349" i="1"/>
  <c r="AF349" i="1" s="1"/>
  <c r="AD349" i="1"/>
  <c r="AE348" i="1"/>
  <c r="AF348" i="1" s="1"/>
  <c r="AD348" i="1"/>
  <c r="AE347" i="1"/>
  <c r="AF347" i="1" s="1"/>
  <c r="AD347" i="1"/>
  <c r="AE346" i="1"/>
  <c r="AF346" i="1" s="1"/>
  <c r="AD346" i="1"/>
  <c r="AE345" i="1"/>
  <c r="AF345" i="1" s="1"/>
  <c r="AD345" i="1"/>
  <c r="AE344" i="1"/>
  <c r="AF344" i="1" s="1"/>
  <c r="AD344" i="1"/>
  <c r="AE343" i="1"/>
  <c r="AF343" i="1" s="1"/>
  <c r="AD343" i="1"/>
  <c r="AE342" i="1"/>
  <c r="AF342" i="1" s="1"/>
  <c r="AD342" i="1"/>
  <c r="AE341" i="1"/>
  <c r="AF341" i="1" s="1"/>
  <c r="AD341" i="1"/>
  <c r="AE340" i="1"/>
  <c r="AF340" i="1" s="1"/>
  <c r="AD340" i="1"/>
  <c r="AE339" i="1"/>
  <c r="AF339" i="1" s="1"/>
  <c r="AD339" i="1"/>
  <c r="AE338" i="1"/>
  <c r="AF338" i="1" s="1"/>
  <c r="AD338" i="1"/>
  <c r="AE337" i="1"/>
  <c r="AF337" i="1" s="1"/>
  <c r="AD337" i="1"/>
  <c r="AE336" i="1"/>
  <c r="AF336" i="1" s="1"/>
  <c r="AD336" i="1"/>
  <c r="AE335" i="1"/>
  <c r="AF335" i="1" s="1"/>
  <c r="AD335" i="1"/>
  <c r="AE334" i="1"/>
  <c r="AF334" i="1" s="1"/>
  <c r="AD334" i="1"/>
  <c r="AE333" i="1"/>
  <c r="AF333" i="1" s="1"/>
  <c r="AD333" i="1"/>
  <c r="AE332" i="1"/>
  <c r="AF332" i="1" s="1"/>
  <c r="AD332" i="1"/>
  <c r="AE331" i="1"/>
  <c r="AF331" i="1" s="1"/>
  <c r="AD331" i="1"/>
  <c r="AE330" i="1"/>
  <c r="AF330" i="1" s="1"/>
  <c r="AD330" i="1"/>
  <c r="AE329" i="1"/>
  <c r="AF329" i="1" s="1"/>
  <c r="AD329" i="1"/>
  <c r="AE328" i="1"/>
  <c r="AF328" i="1" s="1"/>
  <c r="AD328" i="1"/>
  <c r="AE327" i="1"/>
  <c r="AF327" i="1" s="1"/>
  <c r="AD327" i="1"/>
  <c r="AE326" i="1"/>
  <c r="AF326" i="1" s="1"/>
  <c r="AD326" i="1"/>
  <c r="AE325" i="1"/>
  <c r="AF325" i="1" s="1"/>
  <c r="AD325" i="1"/>
  <c r="AE324" i="1"/>
  <c r="AF324" i="1" s="1"/>
  <c r="AD324" i="1"/>
  <c r="AE323" i="1"/>
  <c r="AF323" i="1" s="1"/>
  <c r="AD323" i="1"/>
  <c r="AE322" i="1"/>
  <c r="AF322" i="1" s="1"/>
  <c r="AD322" i="1"/>
  <c r="AE321" i="1"/>
  <c r="AF321" i="1" s="1"/>
  <c r="AD321" i="1"/>
  <c r="AE320" i="1"/>
  <c r="AF320" i="1" s="1"/>
  <c r="AD320" i="1"/>
  <c r="AE319" i="1"/>
  <c r="AF319" i="1" s="1"/>
  <c r="AD319" i="1"/>
  <c r="AE318" i="1"/>
  <c r="AF318" i="1" s="1"/>
  <c r="AD318" i="1"/>
  <c r="AE317" i="1"/>
  <c r="AF317" i="1" s="1"/>
  <c r="AD317" i="1"/>
  <c r="AE316" i="1"/>
  <c r="AF316" i="1" s="1"/>
  <c r="AD316" i="1"/>
  <c r="AE315" i="1"/>
  <c r="AF315" i="1" s="1"/>
  <c r="AD315" i="1"/>
  <c r="AE314" i="1"/>
  <c r="AF314" i="1" s="1"/>
  <c r="AD314" i="1"/>
  <c r="AE313" i="1"/>
  <c r="AF313" i="1" s="1"/>
  <c r="AD313" i="1"/>
  <c r="AE312" i="1"/>
  <c r="AF312" i="1" s="1"/>
  <c r="AD312" i="1"/>
  <c r="AE311" i="1"/>
  <c r="AF311" i="1" s="1"/>
  <c r="AD311" i="1"/>
  <c r="AE310" i="1"/>
  <c r="AF310" i="1" s="1"/>
  <c r="AD310" i="1"/>
  <c r="AE309" i="1"/>
  <c r="AF309" i="1" s="1"/>
  <c r="AD309" i="1"/>
  <c r="AE308" i="1"/>
  <c r="AF308" i="1" s="1"/>
  <c r="AD308" i="1"/>
  <c r="AE307" i="1"/>
  <c r="AF307" i="1" s="1"/>
  <c r="AD307" i="1"/>
  <c r="AE306" i="1"/>
  <c r="AF306" i="1" s="1"/>
  <c r="AD306" i="1"/>
  <c r="AE305" i="1"/>
  <c r="AF305" i="1" s="1"/>
  <c r="AD305" i="1"/>
  <c r="AE304" i="1"/>
  <c r="AF304" i="1" s="1"/>
  <c r="AD304" i="1"/>
  <c r="AE303" i="1"/>
  <c r="AF303" i="1" s="1"/>
  <c r="AD303" i="1"/>
  <c r="AE302" i="1"/>
  <c r="AF302" i="1" s="1"/>
  <c r="AD302" i="1"/>
  <c r="AE301" i="1"/>
  <c r="AF301" i="1" s="1"/>
  <c r="AD301" i="1"/>
  <c r="AE300" i="1"/>
  <c r="AF300" i="1" s="1"/>
  <c r="AD300" i="1"/>
  <c r="AE299" i="1"/>
  <c r="AF299" i="1" s="1"/>
  <c r="AD299" i="1"/>
  <c r="AE298" i="1"/>
  <c r="AF298" i="1" s="1"/>
  <c r="AD298" i="1"/>
  <c r="AE297" i="1"/>
  <c r="AF297" i="1" s="1"/>
  <c r="AD297" i="1"/>
  <c r="AE296" i="1"/>
  <c r="AF296" i="1" s="1"/>
  <c r="AD296" i="1"/>
  <c r="AE295" i="1"/>
  <c r="AF295" i="1" s="1"/>
  <c r="AD295" i="1"/>
  <c r="AE294" i="1"/>
  <c r="AF294" i="1" s="1"/>
  <c r="AD294" i="1"/>
  <c r="AE293" i="1"/>
  <c r="AF293" i="1" s="1"/>
  <c r="AD293" i="1"/>
  <c r="AE292" i="1"/>
  <c r="AF292" i="1" s="1"/>
  <c r="AD292" i="1"/>
  <c r="AE291" i="1"/>
  <c r="AF291" i="1" s="1"/>
  <c r="AD291" i="1"/>
  <c r="AE290" i="1"/>
  <c r="AF290" i="1" s="1"/>
  <c r="AD290" i="1"/>
  <c r="AE289" i="1"/>
  <c r="AF289" i="1" s="1"/>
  <c r="AD289" i="1"/>
  <c r="AE288" i="1"/>
  <c r="AF288" i="1" s="1"/>
  <c r="AD288" i="1"/>
  <c r="AE287" i="1"/>
  <c r="AF287" i="1" s="1"/>
  <c r="AD287" i="1"/>
  <c r="AE286" i="1"/>
  <c r="AF286" i="1" s="1"/>
  <c r="AD286" i="1"/>
  <c r="AE285" i="1"/>
  <c r="AF285" i="1" s="1"/>
  <c r="AD285" i="1"/>
  <c r="AE284" i="1"/>
  <c r="AF284" i="1" s="1"/>
  <c r="AD284" i="1"/>
  <c r="AE283" i="1"/>
  <c r="AF283" i="1" s="1"/>
  <c r="AD283" i="1"/>
  <c r="AE282" i="1"/>
  <c r="AF282" i="1" s="1"/>
  <c r="AD282" i="1"/>
  <c r="AE281" i="1"/>
  <c r="AF281" i="1" s="1"/>
  <c r="AD281" i="1"/>
  <c r="AE280" i="1"/>
  <c r="AF280" i="1" s="1"/>
  <c r="AD280" i="1"/>
  <c r="AE279" i="1"/>
  <c r="AF279" i="1" s="1"/>
  <c r="AD279" i="1"/>
  <c r="AE278" i="1"/>
  <c r="AF278" i="1" s="1"/>
  <c r="AD278" i="1"/>
  <c r="AE277" i="1"/>
  <c r="AF277" i="1" s="1"/>
  <c r="AD277" i="1"/>
  <c r="AE276" i="1"/>
  <c r="AF276" i="1" s="1"/>
  <c r="AD276" i="1"/>
  <c r="AE275" i="1"/>
  <c r="AF275" i="1" s="1"/>
  <c r="AD275" i="1"/>
  <c r="AE274" i="1"/>
  <c r="AF274" i="1" s="1"/>
  <c r="AD274" i="1"/>
  <c r="AE273" i="1"/>
  <c r="AF273" i="1" s="1"/>
  <c r="AD273" i="1"/>
  <c r="AE272" i="1"/>
  <c r="AF272" i="1" s="1"/>
  <c r="AD272" i="1"/>
  <c r="AE271" i="1"/>
  <c r="AF271" i="1" s="1"/>
  <c r="AD271" i="1"/>
  <c r="AE270" i="1"/>
  <c r="AF270" i="1" s="1"/>
  <c r="AD270" i="1"/>
  <c r="AE269" i="1"/>
  <c r="AF269" i="1" s="1"/>
  <c r="AD269" i="1"/>
  <c r="AE268" i="1"/>
  <c r="AF268" i="1" s="1"/>
  <c r="AD268" i="1"/>
  <c r="AE267" i="1"/>
  <c r="AF267" i="1" s="1"/>
  <c r="AD267" i="1"/>
  <c r="AE266" i="1"/>
  <c r="AF266" i="1" s="1"/>
  <c r="AD266" i="1"/>
  <c r="AE265" i="1"/>
  <c r="AF265" i="1" s="1"/>
  <c r="AD265" i="1"/>
  <c r="AE264" i="1"/>
  <c r="AF264" i="1" s="1"/>
  <c r="AD264" i="1"/>
  <c r="AE263" i="1"/>
  <c r="AF263" i="1" s="1"/>
  <c r="AD263" i="1"/>
  <c r="AE262" i="1"/>
  <c r="AF262" i="1" s="1"/>
  <c r="AD262" i="1"/>
  <c r="AE261" i="1"/>
  <c r="AF261" i="1" s="1"/>
  <c r="AD261" i="1"/>
  <c r="AE260" i="1"/>
  <c r="AF260" i="1" s="1"/>
  <c r="AD260" i="1"/>
  <c r="AE259" i="1"/>
  <c r="AF259" i="1" s="1"/>
  <c r="AD259" i="1"/>
  <c r="AE258" i="1"/>
  <c r="AF258" i="1" s="1"/>
  <c r="AD258" i="1"/>
  <c r="AE257" i="1"/>
  <c r="AF257" i="1" s="1"/>
  <c r="AD257" i="1"/>
  <c r="AE256" i="1"/>
  <c r="AF256" i="1" s="1"/>
  <c r="AD256" i="1"/>
  <c r="AE255" i="1"/>
  <c r="AF255" i="1" s="1"/>
  <c r="AD255" i="1"/>
  <c r="AE254" i="1"/>
  <c r="AF254" i="1" s="1"/>
  <c r="AD254" i="1"/>
  <c r="AE253" i="1"/>
  <c r="AF253" i="1" s="1"/>
  <c r="AD253" i="1"/>
  <c r="AE252" i="1"/>
  <c r="AF252" i="1" s="1"/>
  <c r="AD252" i="1"/>
  <c r="AE251" i="1"/>
  <c r="AF251" i="1" s="1"/>
  <c r="AD251" i="1"/>
  <c r="AE250" i="1"/>
  <c r="AF250" i="1" s="1"/>
  <c r="AD250" i="1"/>
  <c r="AE249" i="1"/>
  <c r="AF249" i="1" s="1"/>
  <c r="AD249" i="1"/>
  <c r="AE248" i="1"/>
  <c r="AF248" i="1" s="1"/>
  <c r="AD248" i="1"/>
  <c r="AE247" i="1"/>
  <c r="AF247" i="1" s="1"/>
  <c r="AD247" i="1"/>
  <c r="AE246" i="1"/>
  <c r="AF246" i="1" s="1"/>
  <c r="AD246" i="1"/>
  <c r="AE245" i="1"/>
  <c r="AF245" i="1" s="1"/>
  <c r="AD245" i="1"/>
  <c r="AE244" i="1"/>
  <c r="AF244" i="1" s="1"/>
  <c r="AD244" i="1"/>
  <c r="AE243" i="1"/>
  <c r="AF243" i="1" s="1"/>
  <c r="AD243" i="1"/>
  <c r="AE242" i="1"/>
  <c r="AF242" i="1" s="1"/>
  <c r="AD242" i="1"/>
  <c r="AE241" i="1"/>
  <c r="AF241" i="1" s="1"/>
  <c r="AD241" i="1"/>
  <c r="AE240" i="1"/>
  <c r="AF240" i="1" s="1"/>
  <c r="AD240" i="1"/>
  <c r="AE239" i="1"/>
  <c r="AF239" i="1" s="1"/>
  <c r="AD239" i="1"/>
  <c r="AE238" i="1"/>
  <c r="AF238" i="1" s="1"/>
  <c r="AD238" i="1"/>
  <c r="AE237" i="1"/>
  <c r="AF237" i="1" s="1"/>
  <c r="AD237" i="1"/>
  <c r="AE236" i="1"/>
  <c r="AF236" i="1" s="1"/>
  <c r="AD236" i="1"/>
  <c r="AE235" i="1"/>
  <c r="AF235" i="1" s="1"/>
  <c r="AD235" i="1"/>
  <c r="AE234" i="1"/>
  <c r="AF234" i="1" s="1"/>
  <c r="AD234" i="1"/>
  <c r="AE233" i="1"/>
  <c r="AF233" i="1" s="1"/>
  <c r="AD233" i="1"/>
  <c r="AE232" i="1"/>
  <c r="AF232" i="1" s="1"/>
  <c r="AD232" i="1"/>
  <c r="AE231" i="1"/>
  <c r="AF231" i="1" s="1"/>
  <c r="AD231" i="1"/>
  <c r="AE230" i="1"/>
  <c r="AF230" i="1" s="1"/>
  <c r="AD230" i="1"/>
  <c r="AE229" i="1"/>
  <c r="AF229" i="1" s="1"/>
  <c r="AD229" i="1"/>
  <c r="AE228" i="1"/>
  <c r="AF228" i="1" s="1"/>
  <c r="AD228" i="1"/>
  <c r="AE227" i="1"/>
  <c r="AF227" i="1" s="1"/>
  <c r="AD227" i="1"/>
  <c r="AE226" i="1"/>
  <c r="AF226" i="1" s="1"/>
  <c r="AD226" i="1"/>
  <c r="AE225" i="1"/>
  <c r="AF225" i="1" s="1"/>
  <c r="AD225" i="1"/>
  <c r="AE224" i="1"/>
  <c r="AF224" i="1" s="1"/>
  <c r="AD224" i="1"/>
  <c r="AE223" i="1"/>
  <c r="AF223" i="1" s="1"/>
  <c r="AD223" i="1"/>
  <c r="AE222" i="1"/>
  <c r="AF222" i="1" s="1"/>
  <c r="AD222" i="1"/>
  <c r="AE221" i="1"/>
  <c r="AF221" i="1" s="1"/>
  <c r="AD221" i="1"/>
  <c r="AE220" i="1"/>
  <c r="AF220" i="1" s="1"/>
  <c r="AD220" i="1"/>
  <c r="AE219" i="1"/>
  <c r="AF219" i="1" s="1"/>
  <c r="AD219" i="1"/>
  <c r="AE191" i="1"/>
  <c r="AF191" i="1" s="1"/>
  <c r="AD191" i="1"/>
  <c r="AE190" i="1"/>
  <c r="AF190" i="1" s="1"/>
  <c r="AD190" i="1"/>
  <c r="AE189" i="1"/>
  <c r="AF189" i="1" s="1"/>
  <c r="AD189" i="1"/>
  <c r="AE188" i="1"/>
  <c r="AF188" i="1" s="1"/>
  <c r="AD188" i="1"/>
  <c r="AE187" i="1"/>
  <c r="AF187" i="1" s="1"/>
  <c r="AD187" i="1"/>
  <c r="AE186" i="1"/>
  <c r="AF186" i="1" s="1"/>
  <c r="AD186" i="1"/>
  <c r="AE185" i="1"/>
  <c r="AF185" i="1" s="1"/>
  <c r="AD185" i="1"/>
  <c r="AE184" i="1"/>
  <c r="AF184" i="1" s="1"/>
  <c r="AD184" i="1"/>
  <c r="AE183" i="1"/>
  <c r="AF183" i="1" s="1"/>
  <c r="AD183" i="1"/>
  <c r="AE182" i="1"/>
  <c r="AF182" i="1" s="1"/>
  <c r="AD182" i="1"/>
  <c r="AE181" i="1"/>
  <c r="AF181" i="1" s="1"/>
  <c r="AD181" i="1"/>
  <c r="AE180" i="1"/>
  <c r="AF180" i="1" s="1"/>
  <c r="AD180" i="1"/>
  <c r="AE179" i="1"/>
  <c r="AF179" i="1" s="1"/>
  <c r="AD179" i="1"/>
  <c r="AE178" i="1"/>
  <c r="AF178" i="1" s="1"/>
  <c r="AD178" i="1"/>
  <c r="AE177" i="1"/>
  <c r="AF177" i="1" s="1"/>
  <c r="AD177" i="1"/>
  <c r="AE172" i="1"/>
  <c r="AF172" i="1" s="1"/>
  <c r="AD172" i="1"/>
  <c r="AE171" i="1"/>
  <c r="AF171" i="1" s="1"/>
  <c r="AD171" i="1"/>
  <c r="AE170" i="1"/>
  <c r="AF170" i="1" s="1"/>
  <c r="AD170" i="1"/>
  <c r="AE169" i="1"/>
  <c r="AF169" i="1" s="1"/>
  <c r="AD169" i="1"/>
  <c r="AE166" i="1"/>
  <c r="AF166" i="1" s="1"/>
  <c r="AD166" i="1"/>
  <c r="AE165" i="1"/>
  <c r="AF165" i="1" s="1"/>
  <c r="AD165" i="1"/>
  <c r="AE164" i="1"/>
  <c r="AF164" i="1" s="1"/>
  <c r="AD164" i="1"/>
  <c r="AE163" i="1"/>
  <c r="AF163" i="1" s="1"/>
  <c r="AD163" i="1"/>
  <c r="AE158" i="1"/>
  <c r="AF158" i="1" s="1"/>
  <c r="AD158" i="1"/>
  <c r="AE157" i="1"/>
  <c r="AF157" i="1" s="1"/>
  <c r="AD157" i="1"/>
  <c r="AE156" i="1"/>
  <c r="AF156" i="1" s="1"/>
  <c r="AD156" i="1"/>
  <c r="AE155" i="1"/>
  <c r="AF155" i="1" s="1"/>
  <c r="AD155" i="1"/>
  <c r="AE154" i="1"/>
  <c r="AF154" i="1" s="1"/>
  <c r="AD154" i="1"/>
  <c r="AE153" i="1"/>
  <c r="AF153" i="1" s="1"/>
  <c r="AD153" i="1"/>
  <c r="AE136" i="1"/>
  <c r="AF136" i="1" s="1"/>
  <c r="AD136" i="1"/>
  <c r="AE135" i="1"/>
  <c r="AF135" i="1" s="1"/>
  <c r="AD135" i="1"/>
  <c r="AE134" i="1"/>
  <c r="AF134" i="1" s="1"/>
  <c r="AD134" i="1"/>
  <c r="AE133" i="1"/>
  <c r="AF133" i="1" s="1"/>
  <c r="AD133" i="1"/>
  <c r="AE108" i="1"/>
  <c r="AF108" i="1" s="1"/>
  <c r="AD108" i="1"/>
  <c r="AE107" i="1"/>
  <c r="AF107" i="1" s="1"/>
  <c r="AD107" i="1"/>
  <c r="AE106" i="1"/>
  <c r="AF106" i="1" s="1"/>
  <c r="AD106" i="1"/>
  <c r="AE105" i="1"/>
  <c r="AF105" i="1" s="1"/>
  <c r="AD105" i="1"/>
  <c r="AE61" i="1"/>
  <c r="AF61" i="1" s="1"/>
  <c r="AD61" i="1"/>
  <c r="AE60" i="1"/>
  <c r="AF60" i="1" s="1"/>
  <c r="AD60" i="1"/>
  <c r="AE59" i="1"/>
  <c r="AF59" i="1" s="1"/>
  <c r="AD59" i="1"/>
  <c r="AE58" i="1"/>
  <c r="AF58" i="1" s="1"/>
  <c r="AD58" i="1"/>
  <c r="AE57" i="1"/>
  <c r="AF57" i="1" s="1"/>
  <c r="AD57" i="1"/>
  <c r="AE56" i="1"/>
  <c r="AF56" i="1" s="1"/>
  <c r="AD56" i="1"/>
  <c r="AE55" i="1"/>
  <c r="AF55" i="1" s="1"/>
  <c r="AD55" i="1"/>
  <c r="AE54" i="1"/>
  <c r="AF54" i="1" s="1"/>
  <c r="AD54" i="1"/>
  <c r="AE53" i="1"/>
  <c r="AF53" i="1" s="1"/>
  <c r="AD53" i="1"/>
  <c r="AE52" i="1"/>
  <c r="AF52" i="1" s="1"/>
  <c r="AD52" i="1"/>
  <c r="AE51" i="1"/>
  <c r="AF51" i="1" s="1"/>
  <c r="AD51" i="1"/>
  <c r="AE50" i="1"/>
  <c r="AF50" i="1" s="1"/>
  <c r="AD50" i="1"/>
  <c r="H8" i="57" l="1"/>
  <c r="F6" i="57"/>
  <c r="G6" i="57" s="1"/>
  <c r="H6" i="57" s="1"/>
  <c r="I6" i="57" s="1"/>
  <c r="J6" i="57" s="1"/>
  <c r="N181" i="1" l="1"/>
  <c r="F181" i="1"/>
  <c r="V158" i="1"/>
  <c r="U158" i="1"/>
  <c r="N158" i="1"/>
  <c r="F158" i="1"/>
  <c r="V157" i="1"/>
  <c r="U157" i="1"/>
  <c r="N157" i="1"/>
  <c r="F157" i="1"/>
  <c r="N191" i="1" l="1"/>
  <c r="F191" i="1"/>
  <c r="N190" i="1"/>
  <c r="F190" i="1"/>
  <c r="N189" i="1"/>
  <c r="F189" i="1"/>
  <c r="N188" i="1"/>
  <c r="F188" i="1"/>
  <c r="N187" i="1"/>
  <c r="F187" i="1"/>
  <c r="N186" i="1"/>
  <c r="F186" i="1"/>
  <c r="M8" i="57" l="1"/>
  <c r="N15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tc={6B3E3BD4-DC1D-4E0E-A4F9-9A2E1F356D36}</author>
    <author>tc={C90C5000-6129-47F8-BCA3-E3290F173B4C}</author>
  </authors>
  <commentList>
    <comment ref="A179" authorId="0" shapeId="0" xr:uid="{6B3E3BD4-DC1D-4E0E-A4F9-9A2E1F356D3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Vai no Leite de Colônia Original</t>
      </text>
    </comment>
    <comment ref="A184" authorId="1" shapeId="0" xr:uid="{C90C5000-6129-47F8-BCA3-E3290F173B4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Vai em Shampoo e Sabonete Liquido</t>
      </text>
    </comment>
  </commentList>
</comments>
</file>

<file path=xl/sharedStrings.xml><?xml version="1.0" encoding="utf-8"?>
<sst xmlns="http://schemas.openxmlformats.org/spreadsheetml/2006/main" count="3378" uniqueCount="840">
  <si>
    <t>Lote</t>
  </si>
  <si>
    <t>SA SOLU LAURIL ETER SULFATO DE SODIO</t>
  </si>
  <si>
    <t>CÓDIGO</t>
  </si>
  <si>
    <t>LOTE</t>
  </si>
  <si>
    <t>QTD (KG)</t>
  </si>
  <si>
    <t>STATUS</t>
  </si>
  <si>
    <t>Ordem</t>
  </si>
  <si>
    <t>Nº do material</t>
  </si>
  <si>
    <t>Quantidade da ordem (GMEIN)</t>
  </si>
  <si>
    <t>Qtd.fornecida (GMEIN)</t>
  </si>
  <si>
    <t>DESCRIÇÃO S.A.</t>
  </si>
  <si>
    <t>Nº ORDEM</t>
  </si>
  <si>
    <t>CÓDIGO P.A.</t>
  </si>
  <si>
    <t>DESCRIÇÃO P.A.</t>
  </si>
  <si>
    <t>QTD (CXS)</t>
  </si>
  <si>
    <t>LINHA 08 - GEL BOCA LARGA</t>
  </si>
  <si>
    <t>LINHA 09 - GEL BOCA ESTREITA</t>
  </si>
  <si>
    <t>LINHA 12 - HIDRATANTE PAIXÃO</t>
  </si>
  <si>
    <t>LINHA 11 - LUCRETIN / DESOD. ROLL-ON</t>
  </si>
  <si>
    <t xml:space="preserve"> LINHA 06 - LEITE DE COLÔNIA</t>
  </si>
  <si>
    <t xml:space="preserve">LINHA 07 - DESODORANTE SPRAY </t>
  </si>
  <si>
    <t>-</t>
  </si>
  <si>
    <t xml:space="preserve"> LINHA 10 S.A. SOLUÇÃO DE LAURIL</t>
  </si>
  <si>
    <t>Texto breve de material</t>
  </si>
  <si>
    <t>Unidade de medida (=GMEIN)</t>
  </si>
  <si>
    <t>Planejador MRP</t>
  </si>
  <si>
    <t>Data de conclusão base</t>
  </si>
  <si>
    <t>Hr.início programada</t>
  </si>
  <si>
    <t>Fim program. (hora)</t>
  </si>
  <si>
    <t>Status do sistema</t>
  </si>
  <si>
    <t>17874-5</t>
  </si>
  <si>
    <t>MONANGE DEO CORP HID INT PL EXT 12X400ML</t>
  </si>
  <si>
    <t>25103-0</t>
  </si>
  <si>
    <t>PAIXAO DEO OLEO FRAMBOESA NEGR 24X100ML</t>
  </si>
  <si>
    <t>25186-0</t>
  </si>
  <si>
    <t>MONANGE DEO CORP HID INT PL NOR 24X200ML</t>
  </si>
  <si>
    <t>25106-0</t>
  </si>
  <si>
    <t>PAIXAO DEO LOCAO AVELA 24X200ML</t>
  </si>
  <si>
    <t>27050-0</t>
  </si>
  <si>
    <t>MONANGE ANTI SENSIVEL RL 12X50ML GE</t>
  </si>
  <si>
    <t>26571-0</t>
  </si>
  <si>
    <t>MONANGE DEO CORP HID PL SEC 24X200ML CMT</t>
  </si>
  <si>
    <t>23475-1</t>
  </si>
  <si>
    <t>BOZZANO GEL COND FAT4 6X300G</t>
  </si>
  <si>
    <t>23481-0</t>
  </si>
  <si>
    <t>NYLOOKS GEL COND GAR FAT1 12X240G</t>
  </si>
  <si>
    <t>26565-0</t>
  </si>
  <si>
    <t>MONANGE DEO CORP HID FL LAV 24X200ML CMT</t>
  </si>
  <si>
    <t>26566-0</t>
  </si>
  <si>
    <t>MONANGE DEO CORP HID FL LAV 12X400ML CMT</t>
  </si>
  <si>
    <t>27245-0</t>
  </si>
  <si>
    <t>MONANGE HID FIR Q10 VIT C TD PL 12X400ML</t>
  </si>
  <si>
    <t>17998-4</t>
  </si>
  <si>
    <t>PAIXAO DEO LOCAO INSP ROSAS BRA 12X400ML</t>
  </si>
  <si>
    <t>15479-3</t>
  </si>
  <si>
    <t>PAIXAO DEO LOCAO TENT AMEIXA RU 24X200ML</t>
  </si>
  <si>
    <t>10992-2</t>
  </si>
  <si>
    <t>AVANCO DES SPRAY ACTION 12X85ML NVE</t>
  </si>
  <si>
    <t>26294-0</t>
  </si>
  <si>
    <t>BOZZANO SHAMPOO CACHOS 12X325ML</t>
  </si>
  <si>
    <t>25105-0</t>
  </si>
  <si>
    <t>PAIXAO DEO LOCAO FRAMBOESA NEGR 24X200ML</t>
  </si>
  <si>
    <t>17065-1</t>
  </si>
  <si>
    <t>CONTOURE DES VOLPI SPR LEMBRANCA 12X80ML</t>
  </si>
  <si>
    <t>8198-3</t>
  </si>
  <si>
    <t>LUCRETIN SABONETE LIQUID NEUTRO 24X200ML</t>
  </si>
  <si>
    <t>8191-1</t>
  </si>
  <si>
    <t>LUCRETIN SABONETE LIQUIDO FRESH 24X200ML</t>
  </si>
  <si>
    <t>25107-0</t>
  </si>
  <si>
    <t>PAIXAO DEO LOCAO FLOR BAUNILHA 24X200ML</t>
  </si>
  <si>
    <t>15492-3</t>
  </si>
  <si>
    <t>PAIXAO DEO OLEO INSP ROSAS BRAN 12X200ML</t>
  </si>
  <si>
    <t>15493-3</t>
  </si>
  <si>
    <t>PAIXAO DEO OLEO IRRES FLOR LIS 12X200ML</t>
  </si>
  <si>
    <t>26568-0</t>
  </si>
  <si>
    <t>MONANGE DEO CORP HID FR VER 24X200ML CMT</t>
  </si>
  <si>
    <t>754-5</t>
  </si>
  <si>
    <t>TRES MARCHAND DES SPR CLASS 12X100 NVE</t>
  </si>
  <si>
    <t>CX</t>
  </si>
  <si>
    <t>Z03</t>
  </si>
  <si>
    <t>15475-3</t>
  </si>
  <si>
    <t>PAIXAO DEO LOCAO INSP ROSAS BRA 24X200ML</t>
  </si>
  <si>
    <t>15476-3</t>
  </si>
  <si>
    <t>PAIXAO DEO LOCAO IRRES FLOR LIS 24X200ML</t>
  </si>
  <si>
    <t>15496-3</t>
  </si>
  <si>
    <t>PAIXAO DEO OLEO TENT AMEIXA RUB 12X200ML</t>
  </si>
  <si>
    <t>17062-1</t>
  </si>
  <si>
    <t>CONTOURE DES VOLPI SPR MEMORIAS 12X80ML</t>
  </si>
  <si>
    <t>17063-1</t>
  </si>
  <si>
    <t>CONTOURE DES VOLPI SPR AMOR VIDA 12X80ML</t>
  </si>
  <si>
    <t>17064-1</t>
  </si>
  <si>
    <t>CONTOURE DES VOLPI SPR PRIM AMOR 12X80ML</t>
  </si>
  <si>
    <t>17066-2</t>
  </si>
  <si>
    <t>RASTRO DES VOLPI SPRAY 12X90ML</t>
  </si>
  <si>
    <t>17282-4</t>
  </si>
  <si>
    <t>MONANGE DEO CORP HID ESS FL LAV 24X200ML</t>
  </si>
  <si>
    <t>17283-6</t>
  </si>
  <si>
    <t>MONANGE DEO CORP HID ESS FL LAV 6X400ML</t>
  </si>
  <si>
    <t>17284-4</t>
  </si>
  <si>
    <t>MONANGE DEO CORP HID ESS IOGURT 24X200ML</t>
  </si>
  <si>
    <t>17285-5</t>
  </si>
  <si>
    <t>MONANGE DEO CORP HID ESS FR VER 24X200ML</t>
  </si>
  <si>
    <t>17290-3</t>
  </si>
  <si>
    <t>MONANGE DEO CORP HID INT PL SEC 24X200ML</t>
  </si>
  <si>
    <t>17328-5</t>
  </si>
  <si>
    <t>MONANGE DEO CORP HID ESS FR VER 12X400ML</t>
  </si>
  <si>
    <t>17328-6</t>
  </si>
  <si>
    <t>MONANGE DES CORP HIDR FRUTAS VM 6X400ML</t>
  </si>
  <si>
    <t>17998-5</t>
  </si>
  <si>
    <t>PAIXAO DEO LOCAO INSP ROSAS BRA 6X400ML</t>
  </si>
  <si>
    <t>18000-4</t>
  </si>
  <si>
    <t>PAIXAO DEO LOCAO IRRES FLOR LIS 12X400ML</t>
  </si>
  <si>
    <t>19340-4</t>
  </si>
  <si>
    <t>PAIXAO DEO LOCAO TENT AMEIXA RU 12X400ML</t>
  </si>
  <si>
    <t>19340-5</t>
  </si>
  <si>
    <t>PAIXAO DEO LOCAO TENT AMEIXA RU 6X400ML</t>
  </si>
  <si>
    <t>20462-1</t>
  </si>
  <si>
    <t>PAIXAO DEO OLEO AVELA 24X100ML</t>
  </si>
  <si>
    <t>20464-1</t>
  </si>
  <si>
    <t>PAIXAO DEO OLEO TENT AMEIXA RU 24X100ML</t>
  </si>
  <si>
    <t>23473-1</t>
  </si>
  <si>
    <t>BOZZANO GEL COND FAT2 BM 6X300G</t>
  </si>
  <si>
    <t>23482-0</t>
  </si>
  <si>
    <t>NYLOOKS GEL COND GAR FAT2 12X240G</t>
  </si>
  <si>
    <t>23483-0</t>
  </si>
  <si>
    <t>NYLOOKS GEL COND GAR FAT3 12X240G</t>
  </si>
  <si>
    <t>23484-0</t>
  </si>
  <si>
    <t>NYLOOKS GEL COND GAR FAT4 12X240G</t>
  </si>
  <si>
    <t>24041-1</t>
  </si>
  <si>
    <t>MONANGE SH LISOS TE QUERO 12X325ML</t>
  </si>
  <si>
    <t>24042-1</t>
  </si>
  <si>
    <t>MONANGE SH CACHOS QUE TAL 12X325ML</t>
  </si>
  <si>
    <t>24043-1</t>
  </si>
  <si>
    <t>MONANGE SH QUIMICA SEM DRAMA 12X325ML</t>
  </si>
  <si>
    <t>24044-1</t>
  </si>
  <si>
    <t>MONANGE SH RESTAURA QUE GOSTO 12X325ML</t>
  </si>
  <si>
    <t>24045-1</t>
  </si>
  <si>
    <t>MONANGE SH BOOST CRESCIMENTO 12X325ML</t>
  </si>
  <si>
    <t>24046-1</t>
  </si>
  <si>
    <t>MONANGE SH DETOXTERAPIA 12X325ML</t>
  </si>
  <si>
    <t>24047-1</t>
  </si>
  <si>
    <t>MONANGE COND HIDRATA COM PODER 12X325ML</t>
  </si>
  <si>
    <t>24048-1</t>
  </si>
  <si>
    <t>MONANGE COND LISOS TE QUERO 12X325ML</t>
  </si>
  <si>
    <t>24049-1</t>
  </si>
  <si>
    <t>MONANGE COND CACHOS QUE TAL 12X325ML</t>
  </si>
  <si>
    <t>24052-1</t>
  </si>
  <si>
    <t>MONANGE COND BOOST CRESCIMENTO 12X325ML</t>
  </si>
  <si>
    <t>24054-1</t>
  </si>
  <si>
    <t>MONANGE CPP HIDRATA COM PODER 12X300ML</t>
  </si>
  <si>
    <t>24055-1</t>
  </si>
  <si>
    <t>MONANGE CPP LISOS TE QUERO 12X300ML</t>
  </si>
  <si>
    <t>24056-1</t>
  </si>
  <si>
    <t>MONANGE CPP ATIVAD CACHOS Q TAL 12X300ML</t>
  </si>
  <si>
    <t>24057-1</t>
  </si>
  <si>
    <t>MONANGE CPP QUIMICA SEM DRAMA 12X300ML</t>
  </si>
  <si>
    <t>24058-1</t>
  </si>
  <si>
    <t>MONANGE CDT HIDRATA COM PODER 12X300G</t>
  </si>
  <si>
    <t>24059-1</t>
  </si>
  <si>
    <t>MONANGE CDT LISOS TE QUERO 12X300G</t>
  </si>
  <si>
    <t>24060-1</t>
  </si>
  <si>
    <t>MONANGE CDT CACHOS QUE TAL 12X300G</t>
  </si>
  <si>
    <t>24061-1</t>
  </si>
  <si>
    <t>MONANGE CDT QUIMICA SEM DRAMA 12X300G</t>
  </si>
  <si>
    <t>2461-6</t>
  </si>
  <si>
    <t>LEITE COLONIA ORIGINAL 36X100ML</t>
  </si>
  <si>
    <t>2463-5</t>
  </si>
  <si>
    <t>LEITE COLONIA ORIGINAL 24X200ML</t>
  </si>
  <si>
    <t>2467-6</t>
  </si>
  <si>
    <t>LEITE COLONIA FINAL F 24X200ML</t>
  </si>
  <si>
    <t>24863-1</t>
  </si>
  <si>
    <t>MONANGE DEO CORP HID INT PL SEC 12X400ML</t>
  </si>
  <si>
    <t>24863-3</t>
  </si>
  <si>
    <t>MONANGE DES CORP HID INT PEL SEC 6X400ML</t>
  </si>
  <si>
    <t>25093-0</t>
  </si>
  <si>
    <t>MONANGE SAB LIQ FLOR DE LAVANDA 24X240ML</t>
  </si>
  <si>
    <t>25094-0</t>
  </si>
  <si>
    <t>MONANGE SAB LIQ FRUTAS VM 24X240ML</t>
  </si>
  <si>
    <t>25095-0</t>
  </si>
  <si>
    <t>MONANGE SAB LIQ EXTRATO OLIVA 24X240ML</t>
  </si>
  <si>
    <t>25096-0</t>
  </si>
  <si>
    <t>MONANGE SAB LIQ DETOX 24X240ML</t>
  </si>
  <si>
    <t>25101-0</t>
  </si>
  <si>
    <t>PAIXAO DEO OLEO INSP ROSAS BRA 24X100ML</t>
  </si>
  <si>
    <t>25102-0</t>
  </si>
  <si>
    <t>PAIXAO DEO OLEO IRRES FLOR LIS 24X100ML</t>
  </si>
  <si>
    <t>25104-0</t>
  </si>
  <si>
    <t>PAIXAO DEO OLEO FLOR BAUNILHA 24X100ML</t>
  </si>
  <si>
    <t>25144-0</t>
  </si>
  <si>
    <t>PAIXAO DEO LOCAO ACET INSP ROSA 12X300G</t>
  </si>
  <si>
    <t>25182-0</t>
  </si>
  <si>
    <t>MONANGE DEO CORP HID DETOX 24X200ML</t>
  </si>
  <si>
    <t>25183-0</t>
  </si>
  <si>
    <t>MONANGE HID FIR Q10 VIT C TD PL 24X200ML</t>
  </si>
  <si>
    <t>25184-0</t>
  </si>
  <si>
    <t>MONANGE HID FIR Q10 VITC PL EXT 24X200ML</t>
  </si>
  <si>
    <t>26027-0</t>
  </si>
  <si>
    <t>MONANGE SAB LIQ REFIL DETOX 06X400ML</t>
  </si>
  <si>
    <t>Z08</t>
  </si>
  <si>
    <t>26028-0</t>
  </si>
  <si>
    <t>MONANGE SAB LIQ REFIL DETOX 12X200ML</t>
  </si>
  <si>
    <t>26029-0</t>
  </si>
  <si>
    <t>MONANGE SAB LIQ REFIL FL LAVAND 06X400ML</t>
  </si>
  <si>
    <t>26030-0</t>
  </si>
  <si>
    <t>MONANGE SAB REFIL FL LAVANDA 12X200ML</t>
  </si>
  <si>
    <t>27051-0</t>
  </si>
  <si>
    <t>MONANGE ANTI FLOR LAVANDA RL 12X50ML GE</t>
  </si>
  <si>
    <t>27052-0</t>
  </si>
  <si>
    <t>MONANGE ANTI FRUT VERMELHA RL 12X50ML GE</t>
  </si>
  <si>
    <t>27053-0</t>
  </si>
  <si>
    <t>MONANGE ANTI HIDRAT INTEN RL 12X50ML GE</t>
  </si>
  <si>
    <t>UN</t>
  </si>
  <si>
    <t>766-3</t>
  </si>
  <si>
    <t>TRES MARCHAND DES SPR BLACK 12X100ML NVE</t>
  </si>
  <si>
    <t>771-5</t>
  </si>
  <si>
    <t>AVANCO DES SPRAY ORIGINAL 12X85ML NVE</t>
  </si>
  <si>
    <t>20277-0</t>
  </si>
  <si>
    <t>BITUFO GD COCORICO S/F MORANGO 90G</t>
  </si>
  <si>
    <t>20278-0</t>
  </si>
  <si>
    <t>BITUFO GD COCORICO S/F TUTI FRUTTI 90G</t>
  </si>
  <si>
    <t>16768-5</t>
  </si>
  <si>
    <t>BITUFO GD C FLUOR T FRUTI L TUNES 90G DL</t>
  </si>
  <si>
    <t>17298-2</t>
  </si>
  <si>
    <t>BOZZANO BALSAMO POS PEL SENS 12X100G CIN</t>
  </si>
  <si>
    <t>8476-4</t>
  </si>
  <si>
    <t>BOZZANO LOCAO POS NIGHTBLU 12X100ML CIN</t>
  </si>
  <si>
    <t>8488-3</t>
  </si>
  <si>
    <t>BOZZANO CR BARBEAR ALOE VERA 24X65G CIN</t>
  </si>
  <si>
    <t>8489-4</t>
  </si>
  <si>
    <t>BOZZANO CR BARBEAR MENTOLADO 24X65G CIN</t>
  </si>
  <si>
    <t>8490-5</t>
  </si>
  <si>
    <t>BOZZANO CR BARBEAR PELE SENS 24X65G</t>
  </si>
  <si>
    <t>REALIZADO</t>
  </si>
  <si>
    <t>11638-1</t>
  </si>
  <si>
    <t>LUCRETIN SABONETE LIQ HIDRATA 24X200ML</t>
  </si>
  <si>
    <t>17283-5</t>
  </si>
  <si>
    <t>MONANGE DEO CORP HID ESS FL LAV 12X400ML</t>
  </si>
  <si>
    <t>23474-1</t>
  </si>
  <si>
    <t>BOZZANO GEL COND FAT3 PROT SOLAR 6X300G</t>
  </si>
  <si>
    <t>24040-1</t>
  </si>
  <si>
    <t>MONANGE SH HIDRATA COM PODER 12X325ML</t>
  </si>
  <si>
    <t>24050-1</t>
  </si>
  <si>
    <t>MONANGE COND QUIMICA SEM DRAMA 12X325ML</t>
  </si>
  <si>
    <t>24051-1</t>
  </si>
  <si>
    <t>MONANGE COND RESTAURA QUE GOSTO 12X325ML</t>
  </si>
  <si>
    <t>24053-1</t>
  </si>
  <si>
    <t>MONANGE COND DETOXTERAPIA 12X325ML</t>
  </si>
  <si>
    <t>2465-6</t>
  </si>
  <si>
    <t>LEITE COLONIA FINAL F 36X100ML</t>
  </si>
  <si>
    <t>2469-6</t>
  </si>
  <si>
    <t>LEITE COLONIA TEMPO A 36X100ML</t>
  </si>
  <si>
    <t>2471-5</t>
  </si>
  <si>
    <t>LEITE COLONIA TEMPO A 24X200ML</t>
  </si>
  <si>
    <t>2473-6</t>
  </si>
  <si>
    <t>LEITE COLONIA TOQUE C 36X100ML</t>
  </si>
  <si>
    <t>768-3</t>
  </si>
  <si>
    <t>TRES MARCHAND DES SPR OCEAN 12X100ML NVE</t>
  </si>
  <si>
    <t>20279-0</t>
  </si>
  <si>
    <t>BITUFO GD COCORICO C/F TUTI FRUTTI 90G</t>
  </si>
  <si>
    <t>17297-2</t>
  </si>
  <si>
    <t>BOZZANO BALSAMO POS HIDRAT 12X100G CIN</t>
  </si>
  <si>
    <t>23476-1</t>
  </si>
  <si>
    <t>BOZZANO GEL COND FAT4 BG 12X150G</t>
  </si>
  <si>
    <t>8475-3</t>
  </si>
  <si>
    <t>BOZZANO LOCAO POS MENTOL 12X100ML CIN</t>
  </si>
  <si>
    <t>QTD (UND)</t>
  </si>
  <si>
    <t>CODE</t>
  </si>
  <si>
    <t>DESCRIPTION</t>
  </si>
  <si>
    <t>PLANNER</t>
  </si>
  <si>
    <t>CATEGORY</t>
  </si>
  <si>
    <t>SALES SUB - CATEGORY</t>
  </si>
  <si>
    <t>SUB-CATEGORY</t>
  </si>
  <si>
    <t>LINE PRODUCTION</t>
  </si>
  <si>
    <t>LINHA RCCP</t>
  </si>
  <si>
    <t>SAFETY DAYS TOTAL</t>
  </si>
  <si>
    <t>CONV</t>
  </si>
  <si>
    <t>PLANO AGOSTO</t>
  </si>
  <si>
    <t>PRODUZIDO</t>
  </si>
  <si>
    <t>DES SPRAY</t>
  </si>
  <si>
    <t>DESODORANTE</t>
  </si>
  <si>
    <t>AVANÇO</t>
  </si>
  <si>
    <t>L07 - ENV DESODORANTE SPRAY</t>
  </si>
  <si>
    <t>DESODORANTE_SPRAY</t>
  </si>
  <si>
    <t>CREME/GEL DENTAL</t>
  </si>
  <si>
    <t>ORAL CARE</t>
  </si>
  <si>
    <t>TRADICIONAL</t>
  </si>
  <si>
    <t xml:space="preserve">L35 - ENV CREME/GEL DENTAL BISN </t>
  </si>
  <si>
    <t>CD_GD_90G</t>
  </si>
  <si>
    <t>BARBA BOZZANO</t>
  </si>
  <si>
    <t>PRÉ/PÓS BARBA</t>
  </si>
  <si>
    <t>BALSAMO POS BARBA BOZZANO</t>
  </si>
  <si>
    <t>L23 - ENV MANUAL  ROT</t>
  </si>
  <si>
    <t>BARBA BOZZANO 100G</t>
  </si>
  <si>
    <t>17299-2</t>
  </si>
  <si>
    <t>BOZZANO GEL POS BARBA REFRES 12X100G CIN</t>
  </si>
  <si>
    <t>GEL POS BARBA BOZZANO</t>
  </si>
  <si>
    <t>GEL MODELADOR BOZZANO</t>
  </si>
  <si>
    <t>MODELADOR DE CABELO</t>
  </si>
  <si>
    <t>BOZZANO 300G</t>
  </si>
  <si>
    <t>L08 - ENV GEL BOCA LARGA</t>
  </si>
  <si>
    <t>GEL_B.LARGA</t>
  </si>
  <si>
    <t>BOZZANO 150G</t>
  </si>
  <si>
    <t>L27 - ENV BISNAGA GEL/CREMES</t>
  </si>
  <si>
    <t>COLA GEL MODELADOR 150G</t>
  </si>
  <si>
    <t>26819-0</t>
  </si>
  <si>
    <t>MONANGE FACIAL GEL AC HIAL PL OL 6X150G</t>
  </si>
  <si>
    <t>MONANGE FACIAL</t>
  </si>
  <si>
    <t>CORPO</t>
  </si>
  <si>
    <t>GEL MONANGE</t>
  </si>
  <si>
    <t>GEL_MONANGE</t>
  </si>
  <si>
    <t>26821-0</t>
  </si>
  <si>
    <t>MONANGE FACIAL GEL AC HIAL PL SC 6X150G</t>
  </si>
  <si>
    <t>LOCAO POS BARBA</t>
  </si>
  <si>
    <t>L22 - ENV LOÇÃO/ESPUMA 100ML</t>
  </si>
  <si>
    <t>BARBA BOZZANO LOÇÃO</t>
  </si>
  <si>
    <t>8477-3</t>
  </si>
  <si>
    <t>BOZZANO LOCAO POS ALOE VERA 12X100ML CIN</t>
  </si>
  <si>
    <t>CREME BARBEAR</t>
  </si>
  <si>
    <t>L26 - ENV CREME DE BARBEAR</t>
  </si>
  <si>
    <t>BARBA BOZZANO CREME</t>
  </si>
  <si>
    <t>CONTOURE</t>
  </si>
  <si>
    <t>LEITE DE COLONIA</t>
  </si>
  <si>
    <t>L06 - ENV LEITE COLONIA</t>
  </si>
  <si>
    <t>LEITE_COLONIA_200</t>
  </si>
  <si>
    <t>LEITE_COLONIA</t>
  </si>
  <si>
    <t>2475-5</t>
  </si>
  <si>
    <t>LEITE COLONIA TOQUE C 24X200ML</t>
  </si>
  <si>
    <t>SABONETE ÍNTIMO</t>
  </si>
  <si>
    <t>SABONETE</t>
  </si>
  <si>
    <t>LUCRETIN</t>
  </si>
  <si>
    <t>L11 - ENV ROLL ON/SAB INTIMO</t>
  </si>
  <si>
    <t>SAB_INTIMO</t>
  </si>
  <si>
    <t>CAPILAR MONANGE</t>
  </si>
  <si>
    <t>CAPILAR</t>
  </si>
  <si>
    <t>CONDICIONADOR</t>
  </si>
  <si>
    <t>L10 - ENV SH/COND MONANGE</t>
  </si>
  <si>
    <t>COND_MONANGE G</t>
  </si>
  <si>
    <t>CREME PENTEAR</t>
  </si>
  <si>
    <t>L55 - ENV HID MONANGE 400ML/PAIXÃO 400 ML/CPP</t>
  </si>
  <si>
    <t>CPP G</t>
  </si>
  <si>
    <t>CREME TRATAMENTO</t>
  </si>
  <si>
    <t>CDT G</t>
  </si>
  <si>
    <t>24062-1</t>
  </si>
  <si>
    <t>MONANGE CDT BOOST CRESCIMENTO 12X300G</t>
  </si>
  <si>
    <t>24073-1</t>
  </si>
  <si>
    <t>MONANGE GELEIA CAP COND CACHOS 12X300ML</t>
  </si>
  <si>
    <t>GELEIA CAPILAR</t>
  </si>
  <si>
    <t>25185-0</t>
  </si>
  <si>
    <t>MONAGE DEO HID MAOS Q10 8X75G</t>
  </si>
  <si>
    <t>HIDRATANTE MONANGE</t>
  </si>
  <si>
    <t>MONANGE MÃOS</t>
  </si>
  <si>
    <t>MONANGE HIDRATANTE 75G BG</t>
  </si>
  <si>
    <t>MONANGE 200 ML</t>
  </si>
  <si>
    <t>L13 - ENV HIDRATANTE MONANGE</t>
  </si>
  <si>
    <t>HIDR_MONANGE</t>
  </si>
  <si>
    <t>17327-4</t>
  </si>
  <si>
    <t>MONANGE DEO CORP HID INT PL EXT 24X200ML</t>
  </si>
  <si>
    <t>MONANGE 400 ML</t>
  </si>
  <si>
    <t>HIDR 400ML MNG</t>
  </si>
  <si>
    <t>27246-0</t>
  </si>
  <si>
    <t>MONANGE HID FIR Q10 VITC PL EXT 12X400ML</t>
  </si>
  <si>
    <t>17874-6</t>
  </si>
  <si>
    <t>MONANGE DEO CORP HID INT PL EXT 6X400ML</t>
  </si>
  <si>
    <t>SABONETE LIQUIDO MONANGE</t>
  </si>
  <si>
    <t>SAB_LIQ</t>
  </si>
  <si>
    <t>L59 - POUCH</t>
  </si>
  <si>
    <t>SAB LIQ POUCH_200ML</t>
  </si>
  <si>
    <t>SAB LIQ POUCH_400ML</t>
  </si>
  <si>
    <t>SHAMPOO</t>
  </si>
  <si>
    <t>L10 - ENV SH MONANGE</t>
  </si>
  <si>
    <t>SH_MONANGE G</t>
  </si>
  <si>
    <t>26288-0</t>
  </si>
  <si>
    <t>BOZZANO SHAMPOO ANTICASPA 12X200ML</t>
  </si>
  <si>
    <t>CAPILAR BOZZANO</t>
  </si>
  <si>
    <t>SH_BOZZANO</t>
  </si>
  <si>
    <t>26289-0</t>
  </si>
  <si>
    <t>BOZZANO SHAMPOO ANTICASPA 12X325ML</t>
  </si>
  <si>
    <t>26290-0</t>
  </si>
  <si>
    <t>BOZZANO SHAMPOO ANTIQUEDA 12X200ML</t>
  </si>
  <si>
    <t>26291-0</t>
  </si>
  <si>
    <t>BOZZANO SHAMPOO ANTIQUEDA 12X325ML</t>
  </si>
  <si>
    <t>26292-0</t>
  </si>
  <si>
    <t>BOZZANO CONDICIONADOR ANTIQUEDA 12X200ML</t>
  </si>
  <si>
    <t>COND_BOZZANO</t>
  </si>
  <si>
    <t>26293-0</t>
  </si>
  <si>
    <t>BOZZANO SHAMPOO CACHOS 12X200ML</t>
  </si>
  <si>
    <t>26295-0</t>
  </si>
  <si>
    <t>BOZZANO CONDICIONADOR CACHOS 12X200ML</t>
  </si>
  <si>
    <t>17101-4</t>
  </si>
  <si>
    <t>MONANGE DES ANTI SENSIVEL RL 12X60M</t>
  </si>
  <si>
    <t>DES ROLL-ON</t>
  </si>
  <si>
    <t>MONANGE</t>
  </si>
  <si>
    <t>DES_ROLLON</t>
  </si>
  <si>
    <t>17103-3</t>
  </si>
  <si>
    <t>MONANGE DES ANTI FLOR LAV RL 12X60ML</t>
  </si>
  <si>
    <t>17104-4</t>
  </si>
  <si>
    <t>MONANGE DES ANTI FRUTAS VM RL 12X60ML</t>
  </si>
  <si>
    <t>17105-3</t>
  </si>
  <si>
    <t>MONANGE DES ANTI HIDR INTEN RL 12X60ML</t>
  </si>
  <si>
    <t>23147-1</t>
  </si>
  <si>
    <t>MONANGE DES ANTI INVISIVEL RL 12X60ML</t>
  </si>
  <si>
    <t>27054-0</t>
  </si>
  <si>
    <t>MONANGE ANTI INVISIVEL RL 12X50ML GE</t>
  </si>
  <si>
    <t>GEL MODELADOR GLOBAL</t>
  </si>
  <si>
    <t>NY TRADICIONAL</t>
  </si>
  <si>
    <t>L09 - ENV GEL BOCA ESTREITA</t>
  </si>
  <si>
    <t>GEL_B.ESTREITA</t>
  </si>
  <si>
    <t>HIDRATANTE PAIXÃO</t>
  </si>
  <si>
    <t>PAIXAO 200 ML</t>
  </si>
  <si>
    <t>L12 - ENV HID/OLEO PAIXÃO</t>
  </si>
  <si>
    <t>HIDR_PAIXAO</t>
  </si>
  <si>
    <t>27398-0</t>
  </si>
  <si>
    <t>PAIXAO DEO LOCAO CACAU E PIMENT 24X200ML</t>
  </si>
  <si>
    <t>PAIXAO 400 ML</t>
  </si>
  <si>
    <t>HIDR 400ML PX</t>
  </si>
  <si>
    <t>18000-5</t>
  </si>
  <si>
    <t>PAIXAO DEO LOCAO IRRES FLOR LIS 6X400ML</t>
  </si>
  <si>
    <t>ÓLEO PAIXÃO</t>
  </si>
  <si>
    <t>ÓLEO PAIXAO</t>
  </si>
  <si>
    <t>OLEO_PAIXAO</t>
  </si>
  <si>
    <t>ÓLEO 100ML</t>
  </si>
  <si>
    <t>OLEO_PAIXAO_100ML</t>
  </si>
  <si>
    <t>27397-0</t>
  </si>
  <si>
    <t>PAIXAO DEO OLEO CACAU E PIMENTA 24X100ML</t>
  </si>
  <si>
    <t>25142-0</t>
  </si>
  <si>
    <t>PAIXAO DEO LOCAO MAO INSP ROSAS 8X75G</t>
  </si>
  <si>
    <t>PAIXÃO MÃOS</t>
  </si>
  <si>
    <t>PAIXAO HIDRATANTE 75G BG</t>
  </si>
  <si>
    <t>25143-0</t>
  </si>
  <si>
    <t>PAIXAO DEO LOCAO MAO TENT AMEIXA 8X75G</t>
  </si>
  <si>
    <t>27396-0</t>
  </si>
  <si>
    <t>PAIXAO DEO LOC MAO CACAU E PIMENTA 8X75G</t>
  </si>
  <si>
    <t>PAIXÃO ACETINADOS</t>
  </si>
  <si>
    <t>CREME ACETINADO</t>
  </si>
  <si>
    <t>25145-0</t>
  </si>
  <si>
    <t>PAIXAO DEO LOCAO ACET FLOR BAUN 12X300G</t>
  </si>
  <si>
    <t>20118-1</t>
  </si>
  <si>
    <t>PAIXAO DEO LOCAO ULTRA FRAMBOES 12X200ML</t>
  </si>
  <si>
    <t>BISNAGA</t>
  </si>
  <si>
    <t>PAIXAO BISN</t>
  </si>
  <si>
    <t>25146-0</t>
  </si>
  <si>
    <t>PAIXAO DEO LOCAO ULTRA INSP ROS 12X200ML</t>
  </si>
  <si>
    <t>25147-0</t>
  </si>
  <si>
    <t>PAIXAO DEO LOCAO ULTRA IRRES FL 12X200ML</t>
  </si>
  <si>
    <t>25148-0</t>
  </si>
  <si>
    <t>PAIXAO DEO LOCAO ULTRA TENT AME 12X200ML</t>
  </si>
  <si>
    <t>RASTRO</t>
  </si>
  <si>
    <t>TRES MARCHAND</t>
  </si>
  <si>
    <t>26811-0</t>
  </si>
  <si>
    <t>BOZZANO SABONETE LIQ ANTIBAC</t>
  </si>
  <si>
    <t>SABONETE LIQUIDO BOZZANO</t>
  </si>
  <si>
    <t xml:space="preserve">SAB_LIQ_BOZZANO </t>
  </si>
  <si>
    <t>26812-0</t>
  </si>
  <si>
    <t>BOZZANO SABONETE LIQ CARVÃO</t>
  </si>
  <si>
    <t>26813-0</t>
  </si>
  <si>
    <t>REFIL BOZZANO SABONETE LIQ ANTIBAC</t>
  </si>
  <si>
    <t>26814-0</t>
  </si>
  <si>
    <t>REFIL BOZZANO SABONETE LIQ CARVÃO</t>
  </si>
  <si>
    <t>26815-0</t>
  </si>
  <si>
    <t>BOZZANO SABONETE LIQ ANTIBAC AG 10 ML</t>
  </si>
  <si>
    <t>BOZZANO SAB 10ML</t>
  </si>
  <si>
    <t>L20 - ENV GEL PROTETOR DE PELE</t>
  </si>
  <si>
    <t>SAB_BOZZANO AG</t>
  </si>
  <si>
    <t>26816-0</t>
  </si>
  <si>
    <t>BOZZANO SABONETE LIQ CARVÃO AG 10ML</t>
  </si>
  <si>
    <t>26567-0</t>
  </si>
  <si>
    <t>MONANGE DEO CORP HID FL LAV 6X400ML CMT</t>
  </si>
  <si>
    <t>26569-0</t>
  </si>
  <si>
    <t>MONANGE DEO CORP HID FR VER 12X400ML CMT</t>
  </si>
  <si>
    <t>26570-0</t>
  </si>
  <si>
    <t>MONANGE DEO CORP HID FR VER 6X400ML CMT</t>
  </si>
  <si>
    <t>26572-0</t>
  </si>
  <si>
    <t>MONANGE DEO CORP HID PL SEC 12X400ML CMT</t>
  </si>
  <si>
    <t>26573-0</t>
  </si>
  <si>
    <t>MONANGE DEO CORP HID PL SEC 6X400ML CMT</t>
  </si>
  <si>
    <t>2461-7</t>
  </si>
  <si>
    <t>2463-6</t>
  </si>
  <si>
    <t>2465-7</t>
  </si>
  <si>
    <t>2467-7</t>
  </si>
  <si>
    <t>2469-7</t>
  </si>
  <si>
    <t>2471-6</t>
  </si>
  <si>
    <t>2473-7</t>
  </si>
  <si>
    <t>2475-6</t>
  </si>
  <si>
    <t>SAP</t>
  </si>
  <si>
    <t>DATA SAP</t>
  </si>
  <si>
    <t>SA PAIXAO DEO LOCAO TENT AMEIXA RU</t>
  </si>
  <si>
    <t>SA PAIXAO DEO OLEO TENT AMEIXA RUB</t>
  </si>
  <si>
    <t>LINHA 10 - SHAMPOO E CONDICIONADOR</t>
  </si>
  <si>
    <t>LINHA 55 - ÓLEO PAIXÃO / CPP</t>
  </si>
  <si>
    <t>LINHA</t>
  </si>
  <si>
    <t/>
  </si>
  <si>
    <t>LINHA 08 - GEL BOCA LARGA / ACETINADO</t>
  </si>
  <si>
    <t>LINHA 11 - SAB. INTIMO / DESOD. ROLL-ON</t>
  </si>
  <si>
    <t>Data-base iníc.</t>
  </si>
  <si>
    <t>Versão de produção</t>
  </si>
  <si>
    <t>LINHA 13 - HIDRA MONANGE 200ML e 400ml // SABONETE LÍQUIDO</t>
  </si>
  <si>
    <t xml:space="preserve">Nº ORDEM  </t>
  </si>
  <si>
    <t>Seg</t>
  </si>
  <si>
    <t>Ter</t>
  </si>
  <si>
    <t>Qua</t>
  </si>
  <si>
    <t>Qui</t>
  </si>
  <si>
    <t>Sex</t>
  </si>
  <si>
    <t>Sáb</t>
  </si>
  <si>
    <t>Total Ordens</t>
  </si>
  <si>
    <t>Total Capacidade</t>
  </si>
  <si>
    <t>Sobra de Capacidade</t>
  </si>
  <si>
    <t>DATA ATUALIZADA</t>
  </si>
  <si>
    <t>DATA CONGELADA</t>
  </si>
  <si>
    <t>24042-2</t>
  </si>
  <si>
    <t>MONANGE SH CACHOS DEFINIDOS 12X325ML</t>
  </si>
  <si>
    <t>24044-3</t>
  </si>
  <si>
    <t>MONANGE SH ACD HIALU 12X325ML</t>
  </si>
  <si>
    <t>SA MONANGE CACHOS SH T</t>
  </si>
  <si>
    <t>TA</t>
  </si>
  <si>
    <t>TC</t>
  </si>
  <si>
    <t>TB</t>
  </si>
  <si>
    <t>17874-7</t>
  </si>
  <si>
    <t>SA PAIXAO DEO OLEO FLOR BAUNILHA</t>
  </si>
  <si>
    <t>SA MONANGE SAB INT FRESCOR KIT</t>
  </si>
  <si>
    <t>SA MONANGE LUCR FRESCOR SAB INT DEMETER</t>
  </si>
  <si>
    <t>26566-1</t>
  </si>
  <si>
    <t>SA MONANGE DEO CORP HIDR FLR LAV PETRI</t>
  </si>
  <si>
    <t>24041-2</t>
  </si>
  <si>
    <t>MONANGE SH LISOS BRILHANTES 12X325ML</t>
  </si>
  <si>
    <t>24043-2</t>
  </si>
  <si>
    <t>MONANGE SH REPARACAO POS QUI 12X325ML</t>
  </si>
  <si>
    <t>28231-0</t>
  </si>
  <si>
    <t>MONANGE SABONETE INTIMO NEUTRO 24X200ML</t>
  </si>
  <si>
    <t>24040-2</t>
  </si>
  <si>
    <t>MONANGE SH HIDRATACAO INTENS 12X325ML</t>
  </si>
  <si>
    <t>24046-2</t>
  </si>
  <si>
    <t>MONANGE SH DETOXTERAPIA 12X325ML</t>
  </si>
  <si>
    <t>T26C2013</t>
  </si>
  <si>
    <t>T26C2014</t>
  </si>
  <si>
    <t>T26C2015</t>
  </si>
  <si>
    <t>T26C2016</t>
  </si>
  <si>
    <t>T26C2017</t>
  </si>
  <si>
    <t>T26C2018</t>
  </si>
  <si>
    <t>SA PAIXAO DEO LOCAO INSP ROSAS BRA</t>
  </si>
  <si>
    <t>SA MONANGE LUCR HIDRATA SAB INT DEMETER</t>
  </si>
  <si>
    <t>SA LEITE DE COLONIA ORIGINAL</t>
  </si>
  <si>
    <t>SA SOL ALCOOLICA BENJOIN 5%</t>
  </si>
  <si>
    <t>T26C2285</t>
  </si>
  <si>
    <t>T26C2608</t>
  </si>
  <si>
    <t>T26C2609</t>
  </si>
  <si>
    <t>SOLUÇÃO BENJOIN - 300006</t>
  </si>
  <si>
    <t>Linha 10 - Condicionador</t>
  </si>
  <si>
    <t>4 bulks</t>
  </si>
  <si>
    <t>Linha 10 - Shampoo</t>
  </si>
  <si>
    <t>8 bulks</t>
  </si>
  <si>
    <t>Linha 12</t>
  </si>
  <si>
    <t>Linha 13</t>
  </si>
  <si>
    <t>SKUs com demanda menor, programar para 60 dias DOH</t>
  </si>
  <si>
    <t>Quando as linhas ficam somente 1 turno, a premissa é ficar pelo menos 2 dias com cada versão na linha</t>
  </si>
  <si>
    <t>CACAU E PIMENTA</t>
  </si>
  <si>
    <t>BRIDGERTON</t>
  </si>
  <si>
    <t>FLOR DE BAUNILHA</t>
  </si>
  <si>
    <t>PET (O MESMO FRASCO QUE VAI NO ÓLEO VAI NO HIDRATANTE NA L12):</t>
  </si>
  <si>
    <t>ABER CNAT DMNV NOLQ ORSL</t>
  </si>
  <si>
    <t>AG. LECITINA 110013</t>
  </si>
  <si>
    <t>467279</t>
  </si>
  <si>
    <t>PESADO</t>
  </si>
  <si>
    <t>SET UP PARA ÓLEO 200ML</t>
  </si>
  <si>
    <t>LEITE COLONIA ORIGINAL BTX 24X200ML</t>
  </si>
  <si>
    <t>MO PARA L11</t>
  </si>
  <si>
    <t>24045-2</t>
  </si>
  <si>
    <t>MONANGE SH BOOST DE CRESC 12X325ML</t>
  </si>
  <si>
    <t>24050-2</t>
  </si>
  <si>
    <t>MONANGE COND REPARACAO POS Q 12X325ML</t>
  </si>
  <si>
    <t>24048-2</t>
  </si>
  <si>
    <t>MONANGE COND LISOS BRILHANTES 12X325ML</t>
  </si>
  <si>
    <t>24047-2</t>
  </si>
  <si>
    <t>MONANGE COND HIDRATACAO INT 12X325ML</t>
  </si>
  <si>
    <t>24051-3</t>
  </si>
  <si>
    <t>MONANGE COND ACD HIALU 12X325ML</t>
  </si>
  <si>
    <t>24052-2</t>
  </si>
  <si>
    <t>MONANGE COND BOOST DE CRESC 12X325ML</t>
  </si>
  <si>
    <t>24049-2</t>
  </si>
  <si>
    <t>MONANGE COND CACHOS DEFINIDOS 12X325ML</t>
  </si>
  <si>
    <t>24053-2</t>
  </si>
  <si>
    <t>MONANGE COND DETOXTERAPIA 12X325ML</t>
  </si>
  <si>
    <t>24043-3</t>
  </si>
  <si>
    <t>MONANGE SH REPARACAO BIOCOLAG 12X325ML</t>
  </si>
  <si>
    <t>24050-3</t>
  </si>
  <si>
    <t>MONANGE COND REPARACAO BIOCOLAG 12X325ML</t>
  </si>
  <si>
    <t>29877-0</t>
  </si>
  <si>
    <t>PAIXAO DEO LOCAO RS IMPER 24X200ML</t>
  </si>
  <si>
    <t>25095-1</t>
  </si>
  <si>
    <t>MONANGE SAB CFI LIQ EXT OLIV24X240ML PR</t>
  </si>
  <si>
    <t>25093-1</t>
  </si>
  <si>
    <t>MONANGE SAB CFI LIQ FL LAV 24X240ML PR</t>
  </si>
  <si>
    <t>26565-1</t>
  </si>
  <si>
    <t>MONANGE DEO CORP HIDR FL LAV 24X200ML PT</t>
  </si>
  <si>
    <t>26568-1</t>
  </si>
  <si>
    <t>MONANGE DEO CORP HIDR FR VER 24X200ML PT</t>
  </si>
  <si>
    <t>17284-5</t>
  </si>
  <si>
    <t>MONANGE DEO CORP HIDR AVEIA 24X200ML PT</t>
  </si>
  <si>
    <t>26569-1</t>
  </si>
  <si>
    <t>29878-0</t>
  </si>
  <si>
    <t>28232-0</t>
  </si>
  <si>
    <t>MONANGE SABONETE INTIMO FRESCOR 24X200ML</t>
  </si>
  <si>
    <t>28233-0</t>
  </si>
  <si>
    <t>MONANGE SAB INTIMO DELICADO 24X200ML</t>
  </si>
  <si>
    <t>SA MONANGE QUIMICA SH T</t>
  </si>
  <si>
    <t>SA MONANGE QUIMICA CD T</t>
  </si>
  <si>
    <t>SA MONANGE LISOS CD T</t>
  </si>
  <si>
    <t>SA MONANGE HIDRATA CD T</t>
  </si>
  <si>
    <t>SA MONANGE COND ACD HIALU</t>
  </si>
  <si>
    <t>SA MONANGE BOOST CD T</t>
  </si>
  <si>
    <t>SA MONANGE CACHOS CD T</t>
  </si>
  <si>
    <t>24056-2</t>
  </si>
  <si>
    <t>MONANGE CPP CACHOS DEFINIDOS 12X300ML</t>
  </si>
  <si>
    <t>24054-2</t>
  </si>
  <si>
    <t>MONANGE CPP HIDRATACAO INTENS 12X300ML</t>
  </si>
  <si>
    <t>T26C2604</t>
  </si>
  <si>
    <t>T26C2605</t>
  </si>
  <si>
    <t>T26D1319</t>
  </si>
  <si>
    <t>T26D1320</t>
  </si>
  <si>
    <t>T26D1321</t>
  </si>
  <si>
    <t>T26D1322</t>
  </si>
  <si>
    <t>T26D1375</t>
  </si>
  <si>
    <t>T26D1376</t>
  </si>
  <si>
    <t>T26D1377</t>
  </si>
  <si>
    <t>T26D1378</t>
  </si>
  <si>
    <t>T26D1379</t>
  </si>
  <si>
    <t>T26D1380</t>
  </si>
  <si>
    <t>T26D1381</t>
  </si>
  <si>
    <t>T26D1382</t>
  </si>
  <si>
    <t>T26D1383</t>
  </si>
  <si>
    <t>T26D1384</t>
  </si>
  <si>
    <t>T26D1385</t>
  </si>
  <si>
    <t>T26D1386</t>
  </si>
  <si>
    <t>T26D1387</t>
  </si>
  <si>
    <t>T26D1388</t>
  </si>
  <si>
    <t>T26D1390</t>
  </si>
  <si>
    <t>T26D1391</t>
  </si>
  <si>
    <t>T26D1392</t>
  </si>
  <si>
    <t>T26D1393</t>
  </si>
  <si>
    <t>T26D1394</t>
  </si>
  <si>
    <t>T26D1395</t>
  </si>
  <si>
    <t>T26D1396</t>
  </si>
  <si>
    <t>T26D1397</t>
  </si>
  <si>
    <t>T26D1398</t>
  </si>
  <si>
    <t>T26D1399</t>
  </si>
  <si>
    <t>T26D1400</t>
  </si>
  <si>
    <t>T26D1401</t>
  </si>
  <si>
    <t>T26D1402</t>
  </si>
  <si>
    <t>SA PAIXAO DEO LOCAO FLOR BAUNILHA</t>
  </si>
  <si>
    <t>SA PAIXAO DEO LOC HIDR RS IMPER</t>
  </si>
  <si>
    <t>SA PAIXAO DEO LOC INSP ROSAS BRA</t>
  </si>
  <si>
    <t>SA MONANGE SABONETE LIQ FLOR DE LAVANDA</t>
  </si>
  <si>
    <t>SA MONANGE DEO CORP HID FRUTAS VM PETRI</t>
  </si>
  <si>
    <t>SA PAIXAO DEO OL INSP ROSAS BRAN</t>
  </si>
  <si>
    <t>SA MONANGE LUCR NEUTRO SAB INT DEMETER</t>
  </si>
  <si>
    <t>SA RASTRO DES SPRAY 50%</t>
  </si>
  <si>
    <t>SA CONTOURE DES SPRAY SUAV LEMBRANCA 60%</t>
  </si>
  <si>
    <t>SA AVANCO DES SPRAY ORIGINAL 50%</t>
  </si>
  <si>
    <t>T26D1443</t>
  </si>
  <si>
    <t>T26D1444</t>
  </si>
  <si>
    <t>T26D1445</t>
  </si>
  <si>
    <t>T26D1446</t>
  </si>
  <si>
    <t>T26D1519</t>
  </si>
  <si>
    <t>T26D1520</t>
  </si>
  <si>
    <t>T26D1521</t>
  </si>
  <si>
    <t>T26D1522</t>
  </si>
  <si>
    <t>T26D1523</t>
  </si>
  <si>
    <t>T26D1524</t>
  </si>
  <si>
    <t>T26D1525</t>
  </si>
  <si>
    <t>T26D1526</t>
  </si>
  <si>
    <t>T26D1447</t>
  </si>
  <si>
    <t>T26D1448</t>
  </si>
  <si>
    <t>T26D1449</t>
  </si>
  <si>
    <t>T26D1450</t>
  </si>
  <si>
    <t>T26D1451</t>
  </si>
  <si>
    <t>T26D1499</t>
  </si>
  <si>
    <t>T26D1500</t>
  </si>
  <si>
    <t>T26D1501</t>
  </si>
  <si>
    <t>T26D1502</t>
  </si>
  <si>
    <t>T26D1503</t>
  </si>
  <si>
    <t>T26D1504</t>
  </si>
  <si>
    <t>T26D1505</t>
  </si>
  <si>
    <t>T26D1506</t>
  </si>
  <si>
    <t>T26D1491</t>
  </si>
  <si>
    <t>T26D1492</t>
  </si>
  <si>
    <t>T26D1493</t>
  </si>
  <si>
    <t>T26D1494</t>
  </si>
  <si>
    <t>T26D1495</t>
  </si>
  <si>
    <t>T26D1496</t>
  </si>
  <si>
    <t>T26D1497</t>
  </si>
  <si>
    <t>T26D1498</t>
  </si>
  <si>
    <t>T26D1679</t>
  </si>
  <si>
    <t>T26D1680</t>
  </si>
  <si>
    <t>T26D1681</t>
  </si>
  <si>
    <t>T26D1682</t>
  </si>
  <si>
    <t>T26D1622</t>
  </si>
  <si>
    <t>T26D1623</t>
  </si>
  <si>
    <t>T26D1624</t>
  </si>
  <si>
    <t>T26D1625</t>
  </si>
  <si>
    <t>T26D1507</t>
  </si>
  <si>
    <t>T26D1508</t>
  </si>
  <si>
    <t>T26D1509</t>
  </si>
  <si>
    <t>T26D1510</t>
  </si>
  <si>
    <t>T26D1613</t>
  </si>
  <si>
    <t>T26D1614</t>
  </si>
  <si>
    <t>T26D1615</t>
  </si>
  <si>
    <t>T26D1616</t>
  </si>
  <si>
    <t>T26D1617</t>
  </si>
  <si>
    <t>T26D1618</t>
  </si>
  <si>
    <t>T26D1619</t>
  </si>
  <si>
    <t>T26D1620</t>
  </si>
  <si>
    <t>??</t>
  </si>
  <si>
    <t>T26D1588</t>
  </si>
  <si>
    <t>T26D1589</t>
  </si>
  <si>
    <t>T26D1590</t>
  </si>
  <si>
    <t>T26D1591</t>
  </si>
  <si>
    <t>T26D1592</t>
  </si>
  <si>
    <t>T26D1593</t>
  </si>
  <si>
    <t>T26D1594</t>
  </si>
  <si>
    <t>T26D1595</t>
  </si>
  <si>
    <t>T26D1596</t>
  </si>
  <si>
    <t>T26D1597</t>
  </si>
  <si>
    <t>T26D1598</t>
  </si>
  <si>
    <t>T26D1599</t>
  </si>
  <si>
    <t>T26D1600</t>
  </si>
  <si>
    <t>T26D1601</t>
  </si>
  <si>
    <t>T26D1602</t>
  </si>
  <si>
    <t>T26D1726</t>
  </si>
  <si>
    <t>T26D1727</t>
  </si>
  <si>
    <t>T26D1728</t>
  </si>
  <si>
    <t>T26D1729</t>
  </si>
  <si>
    <t>T26D1730</t>
  </si>
  <si>
    <t>T26D1731</t>
  </si>
  <si>
    <t>T26D1732</t>
  </si>
  <si>
    <t>T26D1733</t>
  </si>
  <si>
    <t>T26D1734</t>
  </si>
  <si>
    <t>T26D1735</t>
  </si>
  <si>
    <t>T26D1736</t>
  </si>
  <si>
    <t>T26D1737</t>
  </si>
  <si>
    <t>T26D1635</t>
  </si>
  <si>
    <t>T26D1636</t>
  </si>
  <si>
    <t>T26D1637</t>
  </si>
  <si>
    <t>T26D1638</t>
  </si>
  <si>
    <t>T26D1639</t>
  </si>
  <si>
    <t>T26D1640</t>
  </si>
  <si>
    <t>T26D1641</t>
  </si>
  <si>
    <t>T26D1642</t>
  </si>
  <si>
    <t>T26D1646</t>
  </si>
  <si>
    <t>T26D1647</t>
  </si>
  <si>
    <t>T26D1648</t>
  </si>
  <si>
    <t>T26D1649</t>
  </si>
  <si>
    <t>T26D1650</t>
  </si>
  <si>
    <t>T26D1651</t>
  </si>
  <si>
    <t>T26D1652</t>
  </si>
  <si>
    <t>T26D1653</t>
  </si>
  <si>
    <t>T26D1550</t>
  </si>
  <si>
    <t>T26D1551</t>
  </si>
  <si>
    <t>T26D1552</t>
  </si>
  <si>
    <t>T26D1553</t>
  </si>
  <si>
    <t>T26D1554</t>
  </si>
  <si>
    <t>T26D1555</t>
  </si>
  <si>
    <t>T26D1541</t>
  </si>
  <si>
    <t>T26D1542</t>
  </si>
  <si>
    <t>T26D1559</t>
  </si>
  <si>
    <t>T26D1560</t>
  </si>
  <si>
    <t>T26D1561</t>
  </si>
  <si>
    <t>T26D1562</t>
  </si>
  <si>
    <t>T26D1710</t>
  </si>
  <si>
    <t>T26D1709</t>
  </si>
  <si>
    <t>T26D1711</t>
  </si>
  <si>
    <t>T26D1530</t>
  </si>
  <si>
    <t>T26D1538</t>
  </si>
  <si>
    <t>T26D1539</t>
  </si>
  <si>
    <t>T26D1540</t>
  </si>
  <si>
    <t>T26D1531</t>
  </si>
  <si>
    <t>T26D1238</t>
  </si>
  <si>
    <t>T26D1243</t>
  </si>
  <si>
    <t>T26D1245</t>
  </si>
  <si>
    <t>T26D1230</t>
  </si>
  <si>
    <t>PROGRAMADO</t>
  </si>
  <si>
    <t>SETUP PARA PEAD 400ML</t>
  </si>
  <si>
    <t>LIMPEZA PARA PETRI 200ML</t>
  </si>
  <si>
    <t>T26D1877</t>
  </si>
  <si>
    <t>T26D1878</t>
  </si>
  <si>
    <t>T26D1879</t>
  </si>
  <si>
    <t>SA MONANGE CPP HIDRATACAO INTENSIVA T</t>
  </si>
  <si>
    <t>MO VAI PARA LINHA 07</t>
  </si>
  <si>
    <t>FORA DO RUN DEVIDO A FALTA DE RÓTULOS</t>
  </si>
  <si>
    <t>RETIRAR DA PROGRAMAÇÃO</t>
  </si>
  <si>
    <t>6124C1</t>
  </si>
  <si>
    <t>6124C2</t>
  </si>
  <si>
    <t>6125C1</t>
  </si>
  <si>
    <t>AG. FRAGRÂNCIA 465490</t>
  </si>
  <si>
    <t>AG. EXT DE GENGIBRE 457464 EM CQ</t>
  </si>
  <si>
    <t>AG. RÓTULO 470896</t>
  </si>
  <si>
    <t>AG. RÓTULO 470896 E RÓTULO 466464</t>
  </si>
  <si>
    <t>AG. RÓTULO 466465</t>
  </si>
  <si>
    <t>LIB  MATF IMPR CNPA CAPC CPRE DMNV FRNP*</t>
  </si>
  <si>
    <t>MONANGE DES CORP HIDR PL EXT 12X400ML PT</t>
  </si>
  <si>
    <t>Z10</t>
  </si>
  <si>
    <t>LIB  MATF IMPR CAPC CPRE LOAT MOME NOLQ*</t>
  </si>
  <si>
    <t>MONANGE DES CORP HIDR FL LAV 12X400ML PT</t>
  </si>
  <si>
    <t>MONANGE DES CORP HIDR FR VER 12X400ML PT</t>
  </si>
  <si>
    <t>MONANGE SAB INTIMO HIDRATA 24X200ML</t>
  </si>
  <si>
    <t>PAIXAO DEO OLEO RS IMPER 12X200ML</t>
  </si>
  <si>
    <t>LINHA 10 - SHAMPOO E CONDICIONADOR (8 SH E 4 COND)</t>
  </si>
  <si>
    <t>LINHA 13 - HIDRA MONANGE 200ML e 400ml / SAB. LÍQUIDO (RUN -&gt; 8 BULKS)</t>
  </si>
  <si>
    <t>QUEBRA DE RUN -&gt; FALTA DE TAMPA</t>
  </si>
  <si>
    <t>PHASE OUT</t>
  </si>
  <si>
    <t>ENTE MATF IMPR CNPA CAPC CPRE DMNV FRNP*</t>
  </si>
  <si>
    <t>6127C1</t>
  </si>
  <si>
    <t>LIB  MATF IMPR CAPC CPRE LOAT NOLQ ORSL</t>
  </si>
  <si>
    <t>6128C1</t>
  </si>
  <si>
    <t>6126C2</t>
  </si>
  <si>
    <t>LIB  MATF IMPR CNPA CAPC CPRE FRNP LOAT*</t>
  </si>
  <si>
    <t>6127C2</t>
  </si>
  <si>
    <t>6126C1</t>
  </si>
  <si>
    <t>LIB  IMPR CAPC CPRE LOAT MOME MatC NOLQ*</t>
  </si>
  <si>
    <t>ENTE CNAT DMNV NOLQ ORSL</t>
  </si>
  <si>
    <t>PROJETO ONLY YOU (PILOTO)</t>
  </si>
  <si>
    <t>FRASCOS SENDO PRODUZIDOS EM D-1</t>
  </si>
  <si>
    <t>OK</t>
  </si>
  <si>
    <t>FRASCOS</t>
  </si>
  <si>
    <t>TERMINA ATÉ DIA 09/05</t>
  </si>
  <si>
    <t>TERMINA DIA 09/05</t>
  </si>
  <si>
    <t>TERMINA DIA 13/05</t>
  </si>
  <si>
    <t>TERMINA DIA 15/05</t>
  </si>
  <si>
    <t>TERMINA DIA 11/05</t>
  </si>
  <si>
    <t>QUEBRA DE RUN DEVIDO A FALTA DE FRASCO</t>
  </si>
  <si>
    <t>TERMINA DIA 14/05</t>
  </si>
  <si>
    <t>AGUARDANDO TINTA / FRASCO</t>
  </si>
  <si>
    <t>TERMINA DIA 12/05</t>
  </si>
  <si>
    <t>NA PORTA AG. RÓTULO 466466</t>
  </si>
  <si>
    <t>EM LINHA FRASCO</t>
  </si>
  <si>
    <t>LIMPEZA PARA COND MONANGE 325ML - 1 TURNO</t>
  </si>
  <si>
    <t>SETUP PARA PEAD 400ML - 1 TURNO</t>
  </si>
  <si>
    <t>SET UP PARA ÓLEO 100ML - 1 TURNO</t>
  </si>
  <si>
    <t>SET UP PARA ÓLEO 200ML - 1 TURNO</t>
  </si>
  <si>
    <t>NA PORTA AG. RÓTULO 466477/466463</t>
  </si>
  <si>
    <t>SETUP PARA PEAD 200ML - 1 TURNO</t>
  </si>
  <si>
    <t>SETUP PARA PET 200ML - 0H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</si>
</sst>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[$-F400]h:mm:ss\ AM/PM"/>
    <numFmt numFmtId="167" formatCode="_-&quot;R$&quot;* #,##0.00_-;\-&quot;R$&quot;* #,##0.00_-;_-&quot;R$&quot;* &quot;-&quot;??_-;_-@_-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2"/>
      <color theme="1"/>
      <name val="Calibri Light"/>
      <family val="2"/>
      <scheme val="major"/>
    </font>
    <font>
      <sz val="12"/>
      <name val="Calibri Light"/>
      <family val="2"/>
      <scheme val="major"/>
    </font>
    <font>
      <b/>
      <sz val="12"/>
      <color theme="4" tint="-0.499984740745262"/>
      <name val="Calibri Light"/>
      <family val="2"/>
      <scheme val="major"/>
    </font>
    <font>
      <b/>
      <sz val="12"/>
      <name val="Calibri Light"/>
      <family val="2"/>
      <scheme val="major"/>
    </font>
    <font>
      <b/>
      <sz val="20"/>
      <color theme="0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8"/>
      <name val="Calibri"/>
      <family val="2"/>
      <scheme val="minor"/>
    </font>
    <font>
      <sz val="12"/>
      <color theme="0"/>
      <name val="Calibri Light"/>
      <family val="2"/>
      <scheme val="major"/>
    </font>
    <font>
      <sz val="11"/>
      <name val="Calibri"/>
      <family val="2"/>
      <scheme val="minor"/>
    </font>
    <font>
      <b/>
      <sz val="20"/>
      <name val="Calibri Light"/>
      <family val="2"/>
      <scheme val="major"/>
    </font>
    <font>
      <b/>
      <sz val="12"/>
      <color theme="0"/>
      <name val="CotySans"/>
      <family val="2"/>
    </font>
    <font>
      <sz val="11"/>
      <color rgb="FF9C5700"/>
      <name val="Calibri"/>
      <family val="2"/>
      <scheme val="minor"/>
    </font>
    <font>
      <sz val="11"/>
      <color theme="1"/>
      <name val="CotySans"/>
      <family val="2"/>
    </font>
    <font>
      <sz val="10"/>
      <color theme="1"/>
      <name val="Arial"/>
      <family val="2"/>
    </font>
    <font>
      <sz val="8"/>
      <color rgb="FF9C0006"/>
      <name val="Calibri"/>
      <family val="2"/>
    </font>
    <font>
      <sz val="12"/>
      <color rgb="FFFF0000"/>
      <name val="Calibri Light"/>
      <family val="2"/>
      <scheme val="maj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4"/>
      <name val="Calibri Light"/>
      <family val="2"/>
      <scheme val="major"/>
    </font>
    <font>
      <sz val="10"/>
      <name val="Arial"/>
      <family val="2"/>
    </font>
    <font>
      <sz val="12"/>
      <color theme="6" tint="-0.249977111117893"/>
      <name val="Calibri Light"/>
      <family val="2"/>
      <scheme val="major"/>
    </font>
    <font>
      <sz val="12"/>
      <color theme="6"/>
      <name val="Calibri Light"/>
      <family val="2"/>
      <scheme val="major"/>
    </font>
    <font>
      <sz val="12"/>
      <name val="CotySans"/>
      <family val="2"/>
    </font>
    <font>
      <b/>
      <sz val="12"/>
      <name val="CotySans"/>
      <family val="2"/>
    </font>
    <font>
      <sz val="12"/>
      <color rgb="FFFF0000"/>
      <name val="CotySans"/>
      <family val="2"/>
    </font>
    <font>
      <b/>
      <sz val="12"/>
      <color rgb="FFFF0000"/>
      <name val="Calibri Light"/>
      <family val="2"/>
      <scheme val="major"/>
    </font>
    <font>
      <sz val="12"/>
      <color rgb="FF0070C0"/>
      <name val="Calibri Light"/>
      <family val="2"/>
      <scheme val="major"/>
    </font>
    <font>
      <sz val="12"/>
      <color rgb="FF0070C0"/>
      <name val="CotySans"/>
      <family val="2"/>
    </font>
    <font>
      <b/>
      <sz val="12"/>
      <color rgb="FF0070C0"/>
      <name val="Calibri Light"/>
      <family val="2"/>
      <scheme val="major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34998626667073579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340">
    <xf numFmtId="0" fontId="0" fillId="0" borderId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6" applyNumberFormat="0" applyFill="0" applyAlignment="0" applyProtection="0"/>
    <xf numFmtId="0" fontId="4" fillId="0" borderId="7" applyNumberFormat="0" applyFill="0" applyAlignment="0" applyProtection="0"/>
    <xf numFmtId="0" fontId="5" fillId="0" borderId="8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9" applyNumberFormat="0" applyAlignment="0" applyProtection="0"/>
    <xf numFmtId="0" fontId="10" fillId="7" borderId="10" applyNumberFormat="0" applyAlignment="0" applyProtection="0"/>
    <xf numFmtId="0" fontId="11" fillId="7" borderId="9" applyNumberFormat="0" applyAlignment="0" applyProtection="0"/>
    <xf numFmtId="0" fontId="12" fillId="0" borderId="11" applyNumberFormat="0" applyFill="0" applyAlignment="0" applyProtection="0"/>
    <xf numFmtId="0" fontId="13" fillId="8" borderId="12" applyNumberFormat="0" applyAlignment="0" applyProtection="0"/>
    <xf numFmtId="0" fontId="14" fillId="0" borderId="0" applyNumberFormat="0" applyFill="0" applyBorder="0" applyAlignment="0" applyProtection="0"/>
    <xf numFmtId="0" fontId="1" fillId="9" borderId="13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4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7" fillId="33" borderId="0" applyNumberFormat="0" applyBorder="0" applyAlignment="0" applyProtection="0"/>
    <xf numFmtId="0" fontId="18" fillId="0" borderId="0"/>
    <xf numFmtId="0" fontId="18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8" fillId="5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33" borderId="0" applyNumberFormat="0" applyBorder="0" applyAlignment="0" applyProtection="0"/>
    <xf numFmtId="0" fontId="18" fillId="0" borderId="0"/>
    <xf numFmtId="0" fontId="18" fillId="0" borderId="0"/>
    <xf numFmtId="0" fontId="30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1" fillId="0" borderId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0" fontId="18" fillId="0" borderId="0"/>
    <xf numFmtId="0" fontId="32" fillId="0" borderId="0"/>
    <xf numFmtId="0" fontId="18" fillId="0" borderId="0"/>
    <xf numFmtId="0" fontId="18" fillId="0" borderId="0"/>
    <xf numFmtId="0" fontId="18" fillId="0" borderId="0"/>
    <xf numFmtId="165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8" fillId="0" borderId="0"/>
    <xf numFmtId="0" fontId="18" fillId="0" borderId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33" fillId="4" borderId="0" applyNumberFormat="0" applyBorder="0" applyAlignment="0" applyProtection="0"/>
    <xf numFmtId="0" fontId="18" fillId="0" borderId="0"/>
    <xf numFmtId="0" fontId="18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5" borderId="0" applyNumberFormat="0" applyBorder="0" applyAlignment="0" applyProtection="0"/>
    <xf numFmtId="0" fontId="1" fillId="9" borderId="13" applyNumberFormat="0" applyFont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33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4" fontId="1" fillId="0" borderId="0" applyFont="0" applyFill="0" applyBorder="0" applyAlignment="0" applyProtection="0"/>
    <xf numFmtId="0" fontId="18" fillId="0" borderId="0"/>
    <xf numFmtId="0" fontId="18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8" fillId="0" borderId="0"/>
    <xf numFmtId="0" fontId="18" fillId="0" borderId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5" fontId="1" fillId="0" borderId="0" applyFont="0" applyFill="0" applyBorder="0" applyAlignment="0" applyProtection="0"/>
    <xf numFmtId="0" fontId="18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5" fillId="0" borderId="0"/>
    <xf numFmtId="0" fontId="36" fillId="0" borderId="0"/>
    <xf numFmtId="0" fontId="37" fillId="0" borderId="0"/>
    <xf numFmtId="0" fontId="38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9" fontId="1" fillId="0" borderId="0" applyFont="0" applyFill="0" applyBorder="0" applyAlignment="0" applyProtection="0"/>
    <xf numFmtId="0" fontId="40" fillId="0" borderId="0"/>
  </cellStyleXfs>
  <cellXfs count="329">
    <xf numFmtId="0" fontId="0" fillId="0" borderId="0" xfId="0"/>
    <xf numFmtId="49" fontId="19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3" fontId="20" fillId="0" borderId="0" xfId="1" applyNumberFormat="1" applyFont="1" applyFill="1" applyBorder="1" applyAlignment="1">
      <alignment horizontal="center" vertical="center"/>
    </xf>
    <xf numFmtId="14" fontId="20" fillId="0" borderId="0" xfId="0" applyNumberFormat="1" applyFont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3" fontId="19" fillId="2" borderId="0" xfId="0" applyNumberFormat="1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2" borderId="18" xfId="0" applyFont="1" applyFill="1" applyBorder="1" applyAlignment="1">
      <alignment horizontal="center" vertical="center" wrapText="1"/>
    </xf>
    <xf numFmtId="49" fontId="21" fillId="2" borderId="18" xfId="0" applyNumberFormat="1" applyFont="1" applyFill="1" applyBorder="1" applyAlignment="1">
      <alignment horizontal="center" vertical="center" wrapText="1"/>
    </xf>
    <xf numFmtId="3" fontId="21" fillId="2" borderId="18" xfId="0" applyNumberFormat="1" applyFont="1" applyFill="1" applyBorder="1" applyAlignment="1">
      <alignment horizontal="center" vertical="center" wrapText="1"/>
    </xf>
    <xf numFmtId="14" fontId="19" fillId="0" borderId="2" xfId="0" applyNumberFormat="1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14" fontId="19" fillId="0" borderId="0" xfId="0" applyNumberFormat="1" applyFont="1" applyAlignment="1">
      <alignment horizontal="center" vertical="center"/>
    </xf>
    <xf numFmtId="0" fontId="19" fillId="0" borderId="1" xfId="0" applyFont="1" applyBorder="1" applyAlignment="1">
      <alignment vertical="center"/>
    </xf>
    <xf numFmtId="14" fontId="19" fillId="0" borderId="0" xfId="0" applyNumberFormat="1" applyFont="1" applyAlignment="1">
      <alignment vertical="center"/>
    </xf>
    <xf numFmtId="14" fontId="19" fillId="0" borderId="3" xfId="0" applyNumberFormat="1" applyFont="1" applyBorder="1" applyAlignment="1">
      <alignment vertical="center"/>
    </xf>
    <xf numFmtId="0" fontId="21" fillId="2" borderId="17" xfId="0" applyFont="1" applyFill="1" applyBorder="1" applyAlignment="1">
      <alignment horizontal="center" vertical="center" wrapText="1"/>
    </xf>
    <xf numFmtId="14" fontId="24" fillId="0" borderId="0" xfId="0" applyNumberFormat="1" applyFont="1" applyAlignment="1">
      <alignment horizontal="center" vertical="center"/>
    </xf>
    <xf numFmtId="14" fontId="21" fillId="2" borderId="18" xfId="0" applyNumberFormat="1" applyFont="1" applyFill="1" applyBorder="1" applyAlignment="1">
      <alignment horizontal="center" vertical="center" wrapText="1"/>
    </xf>
    <xf numFmtId="14" fontId="20" fillId="2" borderId="0" xfId="0" applyNumberFormat="1" applyFont="1" applyFill="1" applyAlignment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9" fillId="0" borderId="0" xfId="0" applyFont="1" applyAlignment="1">
      <alignment vertical="center"/>
    </xf>
    <xf numFmtId="0" fontId="20" fillId="2" borderId="4" xfId="0" applyFont="1" applyFill="1" applyBorder="1" applyAlignment="1">
      <alignment horizontal="center" vertical="center" wrapText="1"/>
    </xf>
    <xf numFmtId="3" fontId="20" fillId="2" borderId="4" xfId="0" applyNumberFormat="1" applyFont="1" applyFill="1" applyBorder="1" applyAlignment="1">
      <alignment horizontal="center" vertical="center" wrapText="1"/>
    </xf>
    <xf numFmtId="0" fontId="27" fillId="0" borderId="0" xfId="0" applyFont="1"/>
    <xf numFmtId="0" fontId="17" fillId="0" borderId="0" xfId="0" applyFont="1"/>
    <xf numFmtId="0" fontId="28" fillId="2" borderId="0" xfId="0" applyFont="1" applyFill="1" applyAlignment="1">
      <alignment horizontal="center" vertical="center"/>
    </xf>
    <xf numFmtId="49" fontId="22" fillId="2" borderId="0" xfId="0" applyNumberFormat="1" applyFont="1" applyFill="1" applyAlignment="1">
      <alignment horizontal="center" vertical="center" wrapText="1"/>
    </xf>
    <xf numFmtId="49" fontId="24" fillId="2" borderId="0" xfId="0" applyNumberFormat="1" applyFont="1" applyFill="1" applyAlignment="1">
      <alignment horizontal="center" vertical="center" wrapText="1"/>
    </xf>
    <xf numFmtId="3" fontId="24" fillId="2" borderId="0" xfId="0" applyNumberFormat="1" applyFont="1" applyFill="1" applyAlignment="1">
      <alignment horizontal="center" vertical="center" wrapText="1"/>
    </xf>
    <xf numFmtId="14" fontId="19" fillId="0" borderId="33" xfId="0" applyNumberFormat="1" applyFont="1" applyBorder="1" applyAlignment="1">
      <alignment vertical="center"/>
    </xf>
    <xf numFmtId="0" fontId="26" fillId="0" borderId="1" xfId="0" applyFont="1" applyBorder="1" applyAlignment="1">
      <alignment horizontal="center" vertical="center"/>
    </xf>
    <xf numFmtId="0" fontId="14" fillId="0" borderId="0" xfId="0" applyFont="1"/>
    <xf numFmtId="0" fontId="26" fillId="0" borderId="2" xfId="0" applyFont="1" applyBorder="1" applyAlignment="1">
      <alignment vertical="center"/>
    </xf>
    <xf numFmtId="14" fontId="26" fillId="0" borderId="2" xfId="0" applyNumberFormat="1" applyFont="1" applyBorder="1" applyAlignment="1">
      <alignment vertical="center"/>
    </xf>
    <xf numFmtId="14" fontId="26" fillId="0" borderId="33" xfId="0" applyNumberFormat="1" applyFont="1" applyBorder="1" applyAlignment="1">
      <alignment vertical="center"/>
    </xf>
    <xf numFmtId="0" fontId="26" fillId="0" borderId="2" xfId="0" applyFont="1" applyBorder="1" applyAlignment="1">
      <alignment horizontal="center" vertical="center"/>
    </xf>
    <xf numFmtId="3" fontId="26" fillId="0" borderId="2" xfId="0" applyNumberFormat="1" applyFont="1" applyBorder="1" applyAlignment="1">
      <alignment horizontal="center" vertical="center"/>
    </xf>
    <xf numFmtId="3" fontId="26" fillId="0" borderId="33" xfId="0" applyNumberFormat="1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49" fontId="34" fillId="0" borderId="2" xfId="0" applyNumberFormat="1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/>
    </xf>
    <xf numFmtId="3" fontId="34" fillId="0" borderId="2" xfId="0" applyNumberFormat="1" applyFont="1" applyBorder="1" applyAlignment="1">
      <alignment horizontal="center" vertical="center" wrapText="1"/>
    </xf>
    <xf numFmtId="0" fontId="34" fillId="2" borderId="2" xfId="0" applyFont="1" applyFill="1" applyBorder="1" applyAlignment="1">
      <alignment horizontal="center" vertical="center" wrapText="1"/>
    </xf>
    <xf numFmtId="14" fontId="34" fillId="0" borderId="2" xfId="0" applyNumberFormat="1" applyFont="1" applyBorder="1" applyAlignment="1">
      <alignment horizontal="center" vertical="center" wrapText="1"/>
    </xf>
    <xf numFmtId="14" fontId="34" fillId="0" borderId="33" xfId="0" applyNumberFormat="1" applyFont="1" applyBorder="1" applyAlignment="1">
      <alignment vertical="center"/>
    </xf>
    <xf numFmtId="0" fontId="34" fillId="0" borderId="1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3" fontId="34" fillId="0" borderId="33" xfId="0" applyNumberFormat="1" applyFont="1" applyBorder="1" applyAlignment="1">
      <alignment horizontal="center" vertical="center" wrapText="1"/>
    </xf>
    <xf numFmtId="14" fontId="34" fillId="0" borderId="33" xfId="0" applyNumberFormat="1" applyFont="1" applyBorder="1" applyAlignment="1">
      <alignment horizontal="center" vertical="center" wrapText="1"/>
    </xf>
    <xf numFmtId="14" fontId="34" fillId="0" borderId="0" xfId="0" applyNumberFormat="1" applyFont="1" applyAlignment="1">
      <alignment horizontal="center" vertical="center"/>
    </xf>
    <xf numFmtId="0" fontId="34" fillId="2" borderId="0" xfId="0" applyFont="1" applyFill="1" applyAlignment="1">
      <alignment horizontal="center" vertical="center" wrapText="1"/>
    </xf>
    <xf numFmtId="0" fontId="34" fillId="2" borderId="0" xfId="0" applyFont="1" applyFill="1" applyAlignment="1">
      <alignment horizontal="center" vertical="center"/>
    </xf>
    <xf numFmtId="3" fontId="34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49" fontId="19" fillId="0" borderId="2" xfId="0" applyNumberFormat="1" applyFont="1" applyBorder="1" applyAlignment="1">
      <alignment horizontal="center" vertical="center" wrapText="1"/>
    </xf>
    <xf numFmtId="3" fontId="19" fillId="0" borderId="2" xfId="0" applyNumberFormat="1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14" fontId="19" fillId="0" borderId="2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3" fontId="19" fillId="0" borderId="33" xfId="0" applyNumberFormat="1" applyFont="1" applyBorder="1" applyAlignment="1">
      <alignment horizontal="center" vertical="center" wrapText="1"/>
    </xf>
    <xf numFmtId="3" fontId="20" fillId="37" borderId="16" xfId="0" applyNumberFormat="1" applyFont="1" applyFill="1" applyBorder="1" applyAlignment="1">
      <alignment horizontal="center" vertical="center" wrapText="1"/>
    </xf>
    <xf numFmtId="3" fontId="27" fillId="0" borderId="0" xfId="0" applyNumberFormat="1" applyFont="1"/>
    <xf numFmtId="0" fontId="20" fillId="0" borderId="1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3" fontId="20" fillId="0" borderId="2" xfId="0" applyNumberFormat="1" applyFont="1" applyBorder="1" applyAlignment="1">
      <alignment horizontal="center" vertical="center" wrapText="1"/>
    </xf>
    <xf numFmtId="3" fontId="20" fillId="0" borderId="33" xfId="0" applyNumberFormat="1" applyFont="1" applyBorder="1" applyAlignment="1">
      <alignment horizontal="center" vertical="center" wrapText="1"/>
    </xf>
    <xf numFmtId="14" fontId="20" fillId="0" borderId="36" xfId="0" applyNumberFormat="1" applyFont="1" applyBorder="1" applyAlignment="1">
      <alignment horizontal="center" vertical="center" wrapText="1"/>
    </xf>
    <xf numFmtId="49" fontId="20" fillId="0" borderId="4" xfId="0" applyNumberFormat="1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14" fontId="20" fillId="0" borderId="28" xfId="0" applyNumberFormat="1" applyFont="1" applyBorder="1" applyAlignment="1">
      <alignment horizontal="center" vertical="center" wrapText="1"/>
    </xf>
    <xf numFmtId="3" fontId="19" fillId="0" borderId="2" xfId="0" applyNumberFormat="1" applyFont="1" applyBorder="1" applyAlignment="1">
      <alignment vertical="center"/>
    </xf>
    <xf numFmtId="3" fontId="20" fillId="37" borderId="32" xfId="0" applyNumberFormat="1" applyFont="1" applyFill="1" applyBorder="1" applyAlignment="1">
      <alignment horizontal="center" vertical="center" wrapText="1"/>
    </xf>
    <xf numFmtId="0" fontId="20" fillId="2" borderId="28" xfId="0" applyFont="1" applyFill="1" applyBorder="1" applyAlignment="1">
      <alignment horizontal="center" vertical="center" wrapText="1"/>
    </xf>
    <xf numFmtId="49" fontId="20" fillId="2" borderId="4" xfId="0" applyNumberFormat="1" applyFont="1" applyFill="1" applyBorder="1" applyAlignment="1">
      <alignment horizontal="center" vertical="center" wrapText="1"/>
    </xf>
    <xf numFmtId="0" fontId="34" fillId="0" borderId="29" xfId="0" applyFont="1" applyBorder="1" applyAlignment="1">
      <alignment horizontal="center" vertical="center"/>
    </xf>
    <xf numFmtId="0" fontId="34" fillId="0" borderId="30" xfId="0" applyFont="1" applyBorder="1" applyAlignment="1">
      <alignment horizontal="center" vertical="center" wrapText="1"/>
    </xf>
    <xf numFmtId="3" fontId="34" fillId="0" borderId="30" xfId="0" applyNumberFormat="1" applyFont="1" applyBorder="1" applyAlignment="1">
      <alignment horizontal="center" vertical="center" wrapText="1"/>
    </xf>
    <xf numFmtId="3" fontId="34" fillId="0" borderId="35" xfId="0" applyNumberFormat="1" applyFont="1" applyBorder="1" applyAlignment="1">
      <alignment horizontal="center" vertical="center" wrapText="1"/>
    </xf>
    <xf numFmtId="49" fontId="20" fillId="0" borderId="2" xfId="0" applyNumberFormat="1" applyFont="1" applyBorder="1" applyAlignment="1">
      <alignment horizontal="center" vertical="center" wrapText="1"/>
    </xf>
    <xf numFmtId="0" fontId="20" fillId="0" borderId="2" xfId="0" applyFont="1" applyBorder="1" applyAlignment="1">
      <alignment vertical="center"/>
    </xf>
    <xf numFmtId="0" fontId="20" fillId="2" borderId="2" xfId="0" applyFont="1" applyFill="1" applyBorder="1" applyAlignment="1">
      <alignment horizontal="center" vertical="center" wrapText="1"/>
    </xf>
    <xf numFmtId="14" fontId="20" fillId="0" borderId="2" xfId="0" applyNumberFormat="1" applyFont="1" applyBorder="1" applyAlignment="1">
      <alignment horizontal="center" vertical="center" wrapText="1"/>
    </xf>
    <xf numFmtId="14" fontId="20" fillId="0" borderId="33" xfId="0" applyNumberFormat="1" applyFont="1" applyBorder="1" applyAlignment="1">
      <alignment horizontal="center" vertical="center" wrapText="1"/>
    </xf>
    <xf numFmtId="0" fontId="19" fillId="0" borderId="39" xfId="0" applyFont="1" applyBorder="1" applyAlignment="1">
      <alignment vertical="center"/>
    </xf>
    <xf numFmtId="3" fontId="20" fillId="37" borderId="4" xfId="0" applyNumberFormat="1" applyFont="1" applyFill="1" applyBorder="1" applyAlignment="1">
      <alignment horizontal="center" vertical="center" wrapText="1"/>
    </xf>
    <xf numFmtId="0" fontId="20" fillId="38" borderId="28" xfId="0" applyFont="1" applyFill="1" applyBorder="1" applyAlignment="1">
      <alignment horizontal="center" vertical="center" wrapText="1"/>
    </xf>
    <xf numFmtId="49" fontId="20" fillId="38" borderId="4" xfId="0" applyNumberFormat="1" applyFont="1" applyFill="1" applyBorder="1" applyAlignment="1">
      <alignment horizontal="center" vertical="center" wrapText="1"/>
    </xf>
    <xf numFmtId="0" fontId="20" fillId="38" borderId="4" xfId="0" applyFont="1" applyFill="1" applyBorder="1" applyAlignment="1">
      <alignment horizontal="center" vertical="center" wrapText="1"/>
    </xf>
    <xf numFmtId="14" fontId="20" fillId="38" borderId="36" xfId="0" applyNumberFormat="1" applyFont="1" applyFill="1" applyBorder="1" applyAlignment="1">
      <alignment horizontal="center" vertical="center" wrapText="1"/>
    </xf>
    <xf numFmtId="3" fontId="0" fillId="0" borderId="0" xfId="0" applyNumberFormat="1"/>
    <xf numFmtId="0" fontId="20" fillId="0" borderId="39" xfId="0" applyFont="1" applyBorder="1" applyAlignment="1">
      <alignment vertical="center"/>
    </xf>
    <xf numFmtId="0" fontId="20" fillId="2" borderId="24" xfId="0" applyFont="1" applyFill="1" applyBorder="1" applyAlignment="1">
      <alignment horizontal="center" vertical="center"/>
    </xf>
    <xf numFmtId="0" fontId="20" fillId="0" borderId="28" xfId="0" applyFont="1" applyBorder="1" applyAlignment="1">
      <alignment horizontal="center" vertical="center" wrapText="1"/>
    </xf>
    <xf numFmtId="49" fontId="27" fillId="0" borderId="0" xfId="0" applyNumberFormat="1" applyFont="1"/>
    <xf numFmtId="3" fontId="20" fillId="38" borderId="32" xfId="0" applyNumberFormat="1" applyFont="1" applyFill="1" applyBorder="1" applyAlignment="1">
      <alignment horizontal="center" vertical="center" wrapText="1"/>
    </xf>
    <xf numFmtId="14" fontId="20" fillId="38" borderId="16" xfId="0" applyNumberFormat="1" applyFont="1" applyFill="1" applyBorder="1" applyAlignment="1">
      <alignment horizontal="center" vertical="center" wrapText="1"/>
    </xf>
    <xf numFmtId="3" fontId="20" fillId="0" borderId="36" xfId="0" applyNumberFormat="1" applyFont="1" applyBorder="1" applyAlignment="1">
      <alignment horizontal="center" vertical="center" wrapText="1"/>
    </xf>
    <xf numFmtId="1" fontId="20" fillId="0" borderId="0" xfId="0" applyNumberFormat="1" applyFont="1" applyAlignment="1">
      <alignment horizontal="center" vertical="center"/>
    </xf>
    <xf numFmtId="3" fontId="20" fillId="0" borderId="4" xfId="0" applyNumberFormat="1" applyFont="1" applyBorder="1" applyAlignment="1">
      <alignment horizontal="center" vertical="center" wrapText="1"/>
    </xf>
    <xf numFmtId="14" fontId="20" fillId="37" borderId="16" xfId="0" applyNumberFormat="1" applyFont="1" applyFill="1" applyBorder="1" applyAlignment="1">
      <alignment horizontal="center" vertical="center" wrapText="1"/>
    </xf>
    <xf numFmtId="14" fontId="20" fillId="37" borderId="36" xfId="0" applyNumberFormat="1" applyFont="1" applyFill="1" applyBorder="1" applyAlignment="1">
      <alignment horizontal="center" vertical="center" wrapText="1"/>
    </xf>
    <xf numFmtId="14" fontId="34" fillId="0" borderId="30" xfId="0" applyNumberFormat="1" applyFont="1" applyBorder="1" applyAlignment="1">
      <alignment horizontal="center" vertical="center" wrapText="1"/>
    </xf>
    <xf numFmtId="3" fontId="21" fillId="37" borderId="34" xfId="0" applyNumberFormat="1" applyFont="1" applyFill="1" applyBorder="1" applyAlignment="1">
      <alignment horizontal="center" vertical="center" wrapText="1"/>
    </xf>
    <xf numFmtId="14" fontId="22" fillId="37" borderId="34" xfId="0" applyNumberFormat="1" applyFont="1" applyFill="1" applyBorder="1" applyAlignment="1">
      <alignment horizontal="center" vertical="center" wrapText="1"/>
    </xf>
    <xf numFmtId="0" fontId="21" fillId="2" borderId="18" xfId="0" applyFont="1" applyFill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2" fillId="38" borderId="4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1" fontId="20" fillId="0" borderId="25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34" fillId="0" borderId="3" xfId="0" applyNumberFormat="1" applyFont="1" applyBorder="1" applyAlignment="1">
      <alignment horizontal="center" vertical="center"/>
    </xf>
    <xf numFmtId="14" fontId="20" fillId="0" borderId="25" xfId="0" applyNumberFormat="1" applyFont="1" applyBorder="1" applyAlignment="1">
      <alignment horizontal="center" vertical="center"/>
    </xf>
    <xf numFmtId="9" fontId="20" fillId="0" borderId="0" xfId="1338" applyFont="1" applyAlignment="1">
      <alignment horizontal="center" vertical="center"/>
    </xf>
    <xf numFmtId="3" fontId="34" fillId="0" borderId="0" xfId="0" applyNumberFormat="1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14" fontId="20" fillId="0" borderId="4" xfId="0" applyNumberFormat="1" applyFont="1" applyBorder="1" applyAlignment="1">
      <alignment horizontal="center" vertical="center" wrapText="1"/>
    </xf>
    <xf numFmtId="14" fontId="22" fillId="0" borderId="25" xfId="0" applyNumberFormat="1" applyFont="1" applyBorder="1" applyAlignment="1">
      <alignment horizontal="center" vertical="center"/>
    </xf>
    <xf numFmtId="14" fontId="34" fillId="0" borderId="31" xfId="0" applyNumberFormat="1" applyFont="1" applyBorder="1" applyAlignment="1">
      <alignment horizontal="center" vertical="center"/>
    </xf>
    <xf numFmtId="0" fontId="34" fillId="0" borderId="0" xfId="0" applyFont="1" applyAlignment="1">
      <alignment horizontal="center" vertical="center" wrapText="1"/>
    </xf>
    <xf numFmtId="14" fontId="34" fillId="0" borderId="0" xfId="0" applyNumberFormat="1" applyFont="1" applyAlignment="1">
      <alignment horizontal="center" vertical="center" wrapText="1"/>
    </xf>
    <xf numFmtId="0" fontId="13" fillId="39" borderId="16" xfId="0" applyFont="1" applyFill="1" applyBorder="1" applyAlignment="1">
      <alignment horizontal="center"/>
    </xf>
    <xf numFmtId="3" fontId="0" fillId="0" borderId="16" xfId="0" applyNumberFormat="1" applyBorder="1" applyAlignment="1">
      <alignment horizontal="center"/>
    </xf>
    <xf numFmtId="0" fontId="13" fillId="40" borderId="16" xfId="0" applyFont="1" applyFill="1" applyBorder="1" applyAlignment="1">
      <alignment horizontal="center"/>
    </xf>
    <xf numFmtId="3" fontId="34" fillId="37" borderId="4" xfId="0" applyNumberFormat="1" applyFont="1" applyFill="1" applyBorder="1" applyAlignment="1">
      <alignment horizontal="center" vertical="center" wrapText="1"/>
    </xf>
    <xf numFmtId="3" fontId="34" fillId="2" borderId="4" xfId="0" applyNumberFormat="1" applyFont="1" applyFill="1" applyBorder="1" applyAlignment="1">
      <alignment horizontal="center" vertical="center" wrapText="1"/>
    </xf>
    <xf numFmtId="14" fontId="34" fillId="0" borderId="4" xfId="0" applyNumberFormat="1" applyFont="1" applyBorder="1" applyAlignment="1">
      <alignment horizontal="center" vertical="center" wrapText="1"/>
    </xf>
    <xf numFmtId="14" fontId="41" fillId="0" borderId="28" xfId="0" applyNumberFormat="1" applyFont="1" applyBorder="1" applyAlignment="1">
      <alignment horizontal="center" vertical="center" wrapText="1"/>
    </xf>
    <xf numFmtId="14" fontId="34" fillId="0" borderId="36" xfId="0" applyNumberFormat="1" applyFont="1" applyBorder="1" applyAlignment="1">
      <alignment horizontal="center" vertical="center" wrapText="1"/>
    </xf>
    <xf numFmtId="14" fontId="34" fillId="37" borderId="36" xfId="0" applyNumberFormat="1" applyFont="1" applyFill="1" applyBorder="1" applyAlignment="1">
      <alignment horizontal="center" vertical="center" wrapText="1"/>
    </xf>
    <xf numFmtId="0" fontId="0" fillId="35" borderId="16" xfId="0" applyFill="1" applyBorder="1" applyAlignment="1">
      <alignment vertical="top"/>
    </xf>
    <xf numFmtId="0" fontId="0" fillId="35" borderId="16" xfId="0" applyFill="1" applyBorder="1" applyAlignment="1">
      <alignment vertical="top" wrapText="1"/>
    </xf>
    <xf numFmtId="3" fontId="0" fillId="0" borderId="0" xfId="0" applyNumberFormat="1" applyAlignment="1">
      <alignment horizontal="right" vertical="top"/>
    </xf>
    <xf numFmtId="3" fontId="29" fillId="36" borderId="1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3" fontId="29" fillId="37" borderId="16" xfId="0" applyNumberFormat="1" applyFont="1" applyFill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17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34" fillId="0" borderId="30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4" fontId="22" fillId="0" borderId="0" xfId="0" applyNumberFormat="1" applyFont="1" applyAlignment="1">
      <alignment horizontal="center" vertical="center"/>
    </xf>
    <xf numFmtId="3" fontId="24" fillId="2" borderId="0" xfId="0" applyNumberFormat="1" applyFont="1" applyFill="1" applyAlignment="1">
      <alignment horizontal="left" vertical="center"/>
    </xf>
    <xf numFmtId="3" fontId="0" fillId="0" borderId="0" xfId="0" applyNumberFormat="1" applyAlignment="1">
      <alignment wrapText="1"/>
    </xf>
    <xf numFmtId="0" fontId="20" fillId="0" borderId="4" xfId="0" quotePrefix="1" applyFont="1" applyBorder="1" applyAlignment="1">
      <alignment horizontal="center" vertical="center" wrapText="1"/>
    </xf>
    <xf numFmtId="14" fontId="34" fillId="2" borderId="2" xfId="0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 vertical="center"/>
    </xf>
    <xf numFmtId="14" fontId="20" fillId="0" borderId="3" xfId="0" applyNumberFormat="1" applyFont="1" applyBorder="1" applyAlignment="1">
      <alignment horizontal="left" vertical="center"/>
    </xf>
    <xf numFmtId="14" fontId="34" fillId="0" borderId="0" xfId="0" applyNumberFormat="1" applyFont="1" applyAlignment="1">
      <alignment horizontal="left" vertical="center"/>
    </xf>
    <xf numFmtId="14" fontId="34" fillId="0" borderId="3" xfId="0" applyNumberFormat="1" applyFont="1" applyBorder="1" applyAlignment="1">
      <alignment horizontal="left" vertical="center"/>
    </xf>
    <xf numFmtId="1" fontId="20" fillId="0" borderId="0" xfId="0" applyNumberFormat="1" applyFont="1" applyAlignment="1">
      <alignment horizontal="left" vertical="center"/>
    </xf>
    <xf numFmtId="0" fontId="34" fillId="0" borderId="3" xfId="0" applyFont="1" applyBorder="1" applyAlignment="1">
      <alignment horizontal="left" vertical="center"/>
    </xf>
    <xf numFmtId="14" fontId="19" fillId="0" borderId="0" xfId="0" applyNumberFormat="1" applyFont="1" applyAlignment="1">
      <alignment horizontal="left" vertical="center"/>
    </xf>
    <xf numFmtId="14" fontId="20" fillId="2" borderId="3" xfId="0" applyNumberFormat="1" applyFont="1" applyFill="1" applyBorder="1" applyAlignment="1">
      <alignment horizontal="left" vertical="center"/>
    </xf>
    <xf numFmtId="0" fontId="26" fillId="0" borderId="3" xfId="0" applyFont="1" applyBorder="1" applyAlignment="1">
      <alignment horizontal="left" vertical="center"/>
    </xf>
    <xf numFmtId="0" fontId="28" fillId="2" borderId="0" xfId="0" applyFont="1" applyFill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14" fontId="20" fillId="2" borderId="0" xfId="0" applyNumberFormat="1" applyFont="1" applyFill="1" applyAlignment="1">
      <alignment horizontal="left" vertical="center"/>
    </xf>
    <xf numFmtId="14" fontId="19" fillId="0" borderId="3" xfId="0" applyNumberFormat="1" applyFont="1" applyBorder="1" applyAlignment="1">
      <alignment horizontal="left" vertical="center"/>
    </xf>
    <xf numFmtId="0" fontId="21" fillId="2" borderId="19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42" fillId="0" borderId="4" xfId="0" applyNumberFormat="1" applyFont="1" applyBorder="1" applyAlignment="1">
      <alignment horizontal="center" vertical="center" wrapText="1"/>
    </xf>
    <xf numFmtId="14" fontId="21" fillId="2" borderId="34" xfId="0" applyNumberFormat="1" applyFont="1" applyFill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/>
    </xf>
    <xf numFmtId="14" fontId="34" fillId="0" borderId="35" xfId="0" applyNumberFormat="1" applyFont="1" applyBorder="1" applyAlignment="1">
      <alignment horizontal="center" vertical="center" wrapText="1"/>
    </xf>
    <xf numFmtId="14" fontId="34" fillId="2" borderId="33" xfId="0" applyNumberFormat="1" applyFont="1" applyFill="1" applyBorder="1" applyAlignment="1">
      <alignment horizontal="center" vertical="center" wrapText="1"/>
    </xf>
    <xf numFmtId="14" fontId="42" fillId="0" borderId="36" xfId="0" applyNumberFormat="1" applyFont="1" applyBorder="1" applyAlignment="1">
      <alignment horizontal="center" vertical="center" wrapText="1"/>
    </xf>
    <xf numFmtId="3" fontId="14" fillId="0" borderId="0" xfId="0" applyNumberFormat="1" applyFont="1"/>
    <xf numFmtId="0" fontId="34" fillId="0" borderId="28" xfId="0" applyFont="1" applyBorder="1" applyAlignment="1">
      <alignment horizontal="center" vertical="center" wrapText="1"/>
    </xf>
    <xf numFmtId="0" fontId="34" fillId="0" borderId="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38" borderId="25" xfId="0" applyFont="1" applyFill="1" applyBorder="1" applyAlignment="1">
      <alignment horizontal="left" vertical="center"/>
    </xf>
    <xf numFmtId="0" fontId="19" fillId="0" borderId="44" xfId="0" applyFont="1" applyBorder="1" applyAlignment="1">
      <alignment vertical="center"/>
    </xf>
    <xf numFmtId="0" fontId="19" fillId="0" borderId="30" xfId="0" applyFont="1" applyBorder="1" applyAlignment="1">
      <alignment vertical="center"/>
    </xf>
    <xf numFmtId="49" fontId="34" fillId="0" borderId="30" xfId="0" applyNumberFormat="1" applyFont="1" applyBorder="1" applyAlignment="1">
      <alignment horizontal="center" vertical="center" wrapText="1"/>
    </xf>
    <xf numFmtId="14" fontId="34" fillId="0" borderId="31" xfId="0" applyNumberFormat="1" applyFont="1" applyBorder="1" applyAlignment="1">
      <alignment horizontal="left" vertical="center"/>
    </xf>
    <xf numFmtId="14" fontId="42" fillId="2" borderId="4" xfId="0" applyNumberFormat="1" applyFont="1" applyFill="1" applyBorder="1" applyAlignment="1">
      <alignment horizontal="center" vertical="center" wrapText="1"/>
    </xf>
    <xf numFmtId="16" fontId="0" fillId="0" borderId="0" xfId="0" applyNumberFormat="1" applyAlignment="1">
      <alignment horizontal="center"/>
    </xf>
    <xf numFmtId="14" fontId="20" fillId="37" borderId="43" xfId="0" applyNumberFormat="1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20" fillId="2" borderId="38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 wrapText="1"/>
    </xf>
    <xf numFmtId="3" fontId="20" fillId="0" borderId="43" xfId="0" applyNumberFormat="1" applyFont="1" applyBorder="1" applyAlignment="1">
      <alignment horizontal="center" vertical="center" wrapText="1"/>
    </xf>
    <xf numFmtId="14" fontId="22" fillId="0" borderId="37" xfId="0" applyNumberFormat="1" applyFont="1" applyBorder="1" applyAlignment="1">
      <alignment horizontal="center" vertical="center"/>
    </xf>
    <xf numFmtId="0" fontId="34" fillId="2" borderId="28" xfId="0" applyFont="1" applyFill="1" applyBorder="1" applyAlignment="1">
      <alignment horizontal="center" vertical="center" wrapText="1"/>
    </xf>
    <xf numFmtId="0" fontId="34" fillId="2" borderId="4" xfId="0" applyFont="1" applyFill="1" applyBorder="1" applyAlignment="1">
      <alignment horizontal="center" vertical="center" wrapText="1"/>
    </xf>
    <xf numFmtId="14" fontId="34" fillId="2" borderId="4" xfId="0" applyNumberFormat="1" applyFont="1" applyFill="1" applyBorder="1" applyAlignment="1">
      <alignment horizontal="center" vertical="center" wrapText="1"/>
    </xf>
    <xf numFmtId="14" fontId="34" fillId="0" borderId="25" xfId="0" applyNumberFormat="1" applyFont="1" applyBorder="1" applyAlignment="1">
      <alignment horizontal="center" vertical="center"/>
    </xf>
    <xf numFmtId="14" fontId="34" fillId="37" borderId="16" xfId="0" applyNumberFormat="1" applyFont="1" applyFill="1" applyBorder="1" applyAlignment="1">
      <alignment horizontal="center" vertical="center" wrapText="1"/>
    </xf>
    <xf numFmtId="14" fontId="34" fillId="0" borderId="28" xfId="0" applyNumberFormat="1" applyFont="1" applyBorder="1" applyAlignment="1">
      <alignment horizontal="center" vertical="center" wrapText="1"/>
    </xf>
    <xf numFmtId="0" fontId="20" fillId="41" borderId="32" xfId="0" applyFont="1" applyFill="1" applyBorder="1" applyAlignment="1">
      <alignment horizontal="center" vertical="center" wrapText="1"/>
    </xf>
    <xf numFmtId="49" fontId="20" fillId="41" borderId="16" xfId="0" applyNumberFormat="1" applyFont="1" applyFill="1" applyBorder="1" applyAlignment="1">
      <alignment horizontal="center" vertical="center" wrapText="1"/>
    </xf>
    <xf numFmtId="3" fontId="20" fillId="41" borderId="32" xfId="0" applyNumberFormat="1" applyFont="1" applyFill="1" applyBorder="1" applyAlignment="1">
      <alignment horizontal="center" vertical="center" wrapText="1"/>
    </xf>
    <xf numFmtId="0" fontId="20" fillId="41" borderId="16" xfId="0" applyFont="1" applyFill="1" applyBorder="1" applyAlignment="1">
      <alignment horizontal="center" vertical="center" wrapText="1"/>
    </xf>
    <xf numFmtId="0" fontId="22" fillId="41" borderId="16" xfId="0" applyFont="1" applyFill="1" applyBorder="1" applyAlignment="1">
      <alignment horizontal="center" vertical="center"/>
    </xf>
    <xf numFmtId="14" fontId="20" fillId="41" borderId="43" xfId="0" applyNumberFormat="1" applyFont="1" applyFill="1" applyBorder="1" applyAlignment="1">
      <alignment horizontal="center" vertical="center" wrapText="1"/>
    </xf>
    <xf numFmtId="14" fontId="20" fillId="41" borderId="16" xfId="0" applyNumberFormat="1" applyFont="1" applyFill="1" applyBorder="1" applyAlignment="1">
      <alignment horizontal="center" vertical="center" wrapText="1"/>
    </xf>
    <xf numFmtId="1" fontId="20" fillId="41" borderId="37" xfId="0" applyNumberFormat="1" applyFont="1" applyFill="1" applyBorder="1" applyAlignment="1">
      <alignment horizontal="left" vertical="center"/>
    </xf>
    <xf numFmtId="3" fontId="20" fillId="37" borderId="15" xfId="0" applyNumberFormat="1" applyFont="1" applyFill="1" applyBorder="1" applyAlignment="1">
      <alignment horizontal="center" vertical="center" wrapText="1"/>
    </xf>
    <xf numFmtId="14" fontId="20" fillId="37" borderId="15" xfId="0" applyNumberFormat="1" applyFont="1" applyFill="1" applyBorder="1" applyAlignment="1">
      <alignment horizontal="center" vertical="center" wrapText="1"/>
    </xf>
    <xf numFmtId="0" fontId="43" fillId="2" borderId="28" xfId="0" applyFont="1" applyFill="1" applyBorder="1" applyAlignment="1">
      <alignment horizontal="center" vertical="center"/>
    </xf>
    <xf numFmtId="0" fontId="43" fillId="2" borderId="4" xfId="0" applyFont="1" applyFill="1" applyBorder="1" applyAlignment="1">
      <alignment horizontal="center" vertical="center"/>
    </xf>
    <xf numFmtId="3" fontId="43" fillId="2" borderId="4" xfId="0" applyNumberFormat="1" applyFont="1" applyFill="1" applyBorder="1" applyAlignment="1">
      <alignment horizontal="center" vertical="center"/>
    </xf>
    <xf numFmtId="3" fontId="20" fillId="37" borderId="4" xfId="0" applyNumberFormat="1" applyFont="1" applyFill="1" applyBorder="1" applyAlignment="1">
      <alignment horizontal="center" vertical="center"/>
    </xf>
    <xf numFmtId="14" fontId="20" fillId="0" borderId="4" xfId="0" applyNumberFormat="1" applyFont="1" applyBorder="1" applyAlignment="1">
      <alignment horizontal="center" vertical="center"/>
    </xf>
    <xf numFmtId="14" fontId="20" fillId="37" borderId="36" xfId="0" applyNumberFormat="1" applyFont="1" applyFill="1" applyBorder="1" applyAlignment="1">
      <alignment horizontal="center" vertical="center"/>
    </xf>
    <xf numFmtId="0" fontId="43" fillId="2" borderId="0" xfId="0" applyFont="1" applyFill="1" applyAlignment="1">
      <alignment horizontal="left" vertical="center" wrapText="1"/>
    </xf>
    <xf numFmtId="0" fontId="45" fillId="2" borderId="0" xfId="0" applyFont="1" applyFill="1" applyAlignment="1">
      <alignment horizontal="center" vertical="center"/>
    </xf>
    <xf numFmtId="3" fontId="43" fillId="2" borderId="0" xfId="0" applyNumberFormat="1" applyFont="1" applyFill="1" applyAlignment="1">
      <alignment horizontal="center" vertical="center" wrapText="1"/>
    </xf>
    <xf numFmtId="0" fontId="43" fillId="2" borderId="0" xfId="0" applyFont="1" applyFill="1" applyAlignment="1">
      <alignment horizontal="center" vertical="center"/>
    </xf>
    <xf numFmtId="3" fontId="43" fillId="2" borderId="0" xfId="0" applyNumberFormat="1" applyFont="1" applyFill="1" applyAlignment="1">
      <alignment horizontal="center" vertical="center"/>
    </xf>
    <xf numFmtId="0" fontId="44" fillId="2" borderId="0" xfId="0" applyFont="1" applyFill="1" applyAlignment="1">
      <alignment horizontal="center" vertical="center" wrapText="1"/>
    </xf>
    <xf numFmtId="0" fontId="34" fillId="0" borderId="4" xfId="0" applyFont="1" applyBorder="1" applyAlignment="1">
      <alignment horizontal="center" vertical="center" wrapText="1"/>
    </xf>
    <xf numFmtId="0" fontId="34" fillId="0" borderId="25" xfId="0" applyFont="1" applyBorder="1" applyAlignment="1">
      <alignment horizontal="center" vertical="center"/>
    </xf>
    <xf numFmtId="3" fontId="34" fillId="0" borderId="4" xfId="0" applyNumberFormat="1" applyFont="1" applyBorder="1" applyAlignment="1">
      <alignment horizontal="center" vertical="center" wrapText="1"/>
    </xf>
    <xf numFmtId="3" fontId="34" fillId="37" borderId="32" xfId="0" applyNumberFormat="1" applyFont="1" applyFill="1" applyBorder="1" applyAlignment="1">
      <alignment horizontal="center" vertical="center" wrapText="1"/>
    </xf>
    <xf numFmtId="49" fontId="34" fillId="0" borderId="4" xfId="0" applyNumberFormat="1" applyFont="1" applyBorder="1" applyAlignment="1">
      <alignment horizontal="center" vertical="center" wrapText="1"/>
    </xf>
    <xf numFmtId="1" fontId="34" fillId="0" borderId="25" xfId="0" applyNumberFormat="1" applyFont="1" applyBorder="1" applyAlignment="1">
      <alignment horizontal="center" vertical="center"/>
    </xf>
    <xf numFmtId="0" fontId="34" fillId="2" borderId="4" xfId="0" applyFont="1" applyFill="1" applyBorder="1" applyAlignment="1">
      <alignment horizontal="center" vertical="center"/>
    </xf>
    <xf numFmtId="0" fontId="34" fillId="2" borderId="24" xfId="0" applyFont="1" applyFill="1" applyBorder="1" applyAlignment="1">
      <alignment horizontal="center" vertical="center"/>
    </xf>
    <xf numFmtId="3" fontId="34" fillId="0" borderId="36" xfId="0" applyNumberFormat="1" applyFont="1" applyBorder="1" applyAlignment="1">
      <alignment horizontal="center" vertical="center" wrapText="1"/>
    </xf>
    <xf numFmtId="14" fontId="46" fillId="0" borderId="25" xfId="0" applyNumberFormat="1" applyFont="1" applyBorder="1" applyAlignment="1">
      <alignment horizontal="center" vertical="center"/>
    </xf>
    <xf numFmtId="0" fontId="34" fillId="0" borderId="4" xfId="0" quotePrefix="1" applyFont="1" applyBorder="1" applyAlignment="1">
      <alignment horizontal="center" vertical="center" wrapText="1"/>
    </xf>
    <xf numFmtId="0" fontId="45" fillId="0" borderId="25" xfId="0" applyFont="1" applyBorder="1" applyAlignment="1">
      <alignment horizontal="center" vertical="center"/>
    </xf>
    <xf numFmtId="0" fontId="47" fillId="0" borderId="28" xfId="0" applyFont="1" applyBorder="1" applyAlignment="1">
      <alignment horizontal="center" vertical="center" wrapText="1"/>
    </xf>
    <xf numFmtId="0" fontId="47" fillId="0" borderId="4" xfId="0" quotePrefix="1" applyFont="1" applyBorder="1" applyAlignment="1">
      <alignment horizontal="center" vertical="center" wrapText="1"/>
    </xf>
    <xf numFmtId="3" fontId="47" fillId="2" borderId="4" xfId="0" applyNumberFormat="1" applyFont="1" applyFill="1" applyBorder="1" applyAlignment="1">
      <alignment horizontal="center" vertical="center" wrapText="1"/>
    </xf>
    <xf numFmtId="3" fontId="47" fillId="0" borderId="4" xfId="0" applyNumberFormat="1" applyFont="1" applyBorder="1" applyAlignment="1">
      <alignment horizontal="center" vertical="center" wrapText="1"/>
    </xf>
    <xf numFmtId="3" fontId="47" fillId="37" borderId="4" xfId="0" applyNumberFormat="1" applyFont="1" applyFill="1" applyBorder="1" applyAlignment="1">
      <alignment horizontal="center" vertical="center" wrapText="1"/>
    </xf>
    <xf numFmtId="0" fontId="47" fillId="0" borderId="4" xfId="0" applyFont="1" applyBorder="1" applyAlignment="1">
      <alignment horizontal="center" vertical="center" wrapText="1"/>
    </xf>
    <xf numFmtId="0" fontId="47" fillId="0" borderId="4" xfId="0" applyFont="1" applyBorder="1" applyAlignment="1">
      <alignment horizontal="center" vertical="center"/>
    </xf>
    <xf numFmtId="14" fontId="47" fillId="0" borderId="4" xfId="0" applyNumberFormat="1" applyFont="1" applyBorder="1" applyAlignment="1">
      <alignment horizontal="center" vertical="center" wrapText="1"/>
    </xf>
    <xf numFmtId="14" fontId="47" fillId="0" borderId="36" xfId="0" applyNumberFormat="1" applyFont="1" applyBorder="1" applyAlignment="1">
      <alignment horizontal="center" vertical="center" wrapText="1"/>
    </xf>
    <xf numFmtId="14" fontId="47" fillId="37" borderId="36" xfId="0" applyNumberFormat="1" applyFont="1" applyFill="1" applyBorder="1" applyAlignment="1">
      <alignment horizontal="center" vertical="center" wrapText="1"/>
    </xf>
    <xf numFmtId="0" fontId="47" fillId="0" borderId="25" xfId="0" applyFont="1" applyBorder="1" applyAlignment="1">
      <alignment horizontal="center" vertical="center"/>
    </xf>
    <xf numFmtId="0" fontId="47" fillId="2" borderId="28" xfId="0" applyFont="1" applyFill="1" applyBorder="1" applyAlignment="1">
      <alignment horizontal="center" vertical="center" wrapText="1"/>
    </xf>
    <xf numFmtId="49" fontId="47" fillId="2" borderId="4" xfId="0" applyNumberFormat="1" applyFont="1" applyFill="1" applyBorder="1" applyAlignment="1">
      <alignment horizontal="center" vertical="center" wrapText="1"/>
    </xf>
    <xf numFmtId="3" fontId="47" fillId="37" borderId="32" xfId="0" applyNumberFormat="1" applyFont="1" applyFill="1" applyBorder="1" applyAlignment="1">
      <alignment horizontal="center" vertical="center" wrapText="1"/>
    </xf>
    <xf numFmtId="14" fontId="47" fillId="37" borderId="16" xfId="0" applyNumberFormat="1" applyFont="1" applyFill="1" applyBorder="1" applyAlignment="1">
      <alignment horizontal="center" vertical="center" wrapText="1"/>
    </xf>
    <xf numFmtId="3" fontId="20" fillId="0" borderId="32" xfId="0" applyNumberFormat="1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14" fontId="20" fillId="0" borderId="16" xfId="0" applyNumberFormat="1" applyFont="1" applyBorder="1" applyAlignment="1">
      <alignment horizontal="center" vertical="center" wrapText="1"/>
    </xf>
    <xf numFmtId="0" fontId="20" fillId="0" borderId="25" xfId="0" applyFont="1" applyBorder="1" applyAlignment="1">
      <alignment horizontal="left" vertical="center"/>
    </xf>
    <xf numFmtId="49" fontId="47" fillId="0" borderId="4" xfId="0" applyNumberFormat="1" applyFont="1" applyBorder="1" applyAlignment="1">
      <alignment horizontal="center" vertical="center" wrapText="1"/>
    </xf>
    <xf numFmtId="1" fontId="47" fillId="0" borderId="25" xfId="0" applyNumberFormat="1" applyFont="1" applyBorder="1" applyAlignment="1">
      <alignment horizontal="center" vertical="center"/>
    </xf>
    <xf numFmtId="0" fontId="48" fillId="2" borderId="28" xfId="0" applyFont="1" applyFill="1" applyBorder="1" applyAlignment="1">
      <alignment horizontal="center" vertical="center"/>
    </xf>
    <xf numFmtId="0" fontId="48" fillId="2" borderId="4" xfId="0" applyFont="1" applyFill="1" applyBorder="1" applyAlignment="1">
      <alignment horizontal="center" vertical="center"/>
    </xf>
    <xf numFmtId="1" fontId="22" fillId="0" borderId="25" xfId="0" applyNumberFormat="1" applyFont="1" applyBorder="1" applyAlignment="1">
      <alignment horizontal="left" vertical="center"/>
    </xf>
    <xf numFmtId="14" fontId="22" fillId="0" borderId="25" xfId="0" applyNumberFormat="1" applyFont="1" applyBorder="1" applyAlignment="1">
      <alignment horizontal="left" vertical="center"/>
    </xf>
    <xf numFmtId="14" fontId="46" fillId="0" borderId="25" xfId="0" applyNumberFormat="1" applyFont="1" applyBorder="1" applyAlignment="1">
      <alignment horizontal="left" vertical="center"/>
    </xf>
    <xf numFmtId="14" fontId="34" fillId="38" borderId="36" xfId="0" applyNumberFormat="1" applyFont="1" applyFill="1" applyBorder="1" applyAlignment="1">
      <alignment horizontal="center" vertical="center" wrapText="1"/>
    </xf>
    <xf numFmtId="14" fontId="49" fillId="0" borderId="25" xfId="0" applyNumberFormat="1" applyFont="1" applyBorder="1" applyAlignment="1">
      <alignment horizontal="left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7" xfId="0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center" vertical="center"/>
    </xf>
    <xf numFmtId="0" fontId="20" fillId="2" borderId="4" xfId="0" quotePrefix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 wrapText="1"/>
    </xf>
    <xf numFmtId="0" fontId="20" fillId="2" borderId="15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3" fontId="20" fillId="37" borderId="4" xfId="0" applyNumberFormat="1" applyFont="1" applyFill="1" applyBorder="1" applyAlignment="1">
      <alignment horizontal="center" vertical="center" wrapText="1"/>
    </xf>
    <xf numFmtId="3" fontId="20" fillId="37" borderId="15" xfId="0" applyNumberFormat="1" applyFont="1" applyFill="1" applyBorder="1" applyAlignment="1">
      <alignment horizontal="center" vertical="center" wrapText="1"/>
    </xf>
    <xf numFmtId="3" fontId="20" fillId="37" borderId="5" xfId="0" applyNumberFormat="1" applyFont="1" applyFill="1" applyBorder="1" applyAlignment="1">
      <alignment horizontal="center" vertical="center" wrapText="1"/>
    </xf>
    <xf numFmtId="14" fontId="20" fillId="37" borderId="4" xfId="0" applyNumberFormat="1" applyFont="1" applyFill="1" applyBorder="1" applyAlignment="1">
      <alignment horizontal="center" vertical="center" wrapText="1"/>
    </xf>
    <xf numFmtId="14" fontId="20" fillId="37" borderId="15" xfId="0" applyNumberFormat="1" applyFont="1" applyFill="1" applyBorder="1" applyAlignment="1">
      <alignment horizontal="center" vertical="center" wrapText="1"/>
    </xf>
    <xf numFmtId="14" fontId="20" fillId="37" borderId="5" xfId="0" applyNumberFormat="1" applyFont="1" applyFill="1" applyBorder="1" applyAlignment="1">
      <alignment horizontal="center" vertical="center" wrapText="1"/>
    </xf>
    <xf numFmtId="3" fontId="20" fillId="0" borderId="4" xfId="0" applyNumberFormat="1" applyFont="1" applyBorder="1" applyAlignment="1">
      <alignment horizontal="center" vertical="center" wrapText="1"/>
    </xf>
    <xf numFmtId="3" fontId="20" fillId="0" borderId="15" xfId="0" applyNumberFormat="1" applyFont="1" applyBorder="1" applyAlignment="1">
      <alignment horizontal="center" vertical="center" wrapText="1"/>
    </xf>
    <xf numFmtId="3" fontId="20" fillId="0" borderId="5" xfId="0" applyNumberFormat="1" applyFont="1" applyBorder="1" applyAlignment="1">
      <alignment horizontal="center" vertical="center" wrapText="1"/>
    </xf>
    <xf numFmtId="0" fontId="22" fillId="41" borderId="41" xfId="0" applyFont="1" applyFill="1" applyBorder="1" applyAlignment="1">
      <alignment horizontal="center" vertical="center"/>
    </xf>
    <xf numFmtId="0" fontId="22" fillId="41" borderId="42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22" fillId="38" borderId="41" xfId="0" applyFont="1" applyFill="1" applyBorder="1" applyAlignment="1">
      <alignment horizontal="center" vertical="center"/>
    </xf>
    <xf numFmtId="0" fontId="22" fillId="38" borderId="42" xfId="0" applyFont="1" applyFill="1" applyBorder="1" applyAlignment="1">
      <alignment horizontal="center" vertical="center"/>
    </xf>
    <xf numFmtId="3" fontId="43" fillId="2" borderId="4" xfId="0" applyNumberFormat="1" applyFont="1" applyFill="1" applyBorder="1" applyAlignment="1">
      <alignment horizontal="center" vertical="center"/>
    </xf>
    <xf numFmtId="3" fontId="43" fillId="2" borderId="15" xfId="0" applyNumberFormat="1" applyFont="1" applyFill="1" applyBorder="1" applyAlignment="1">
      <alignment horizontal="center" vertical="center"/>
    </xf>
    <xf numFmtId="14" fontId="43" fillId="37" borderId="4" xfId="0" applyNumberFormat="1" applyFont="1" applyFill="1" applyBorder="1" applyAlignment="1">
      <alignment horizontal="center" vertical="center"/>
    </xf>
    <xf numFmtId="14" fontId="43" fillId="37" borderId="15" xfId="0" applyNumberFormat="1" applyFont="1" applyFill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43" fillId="0" borderId="4" xfId="1" applyNumberFormat="1" applyFont="1" applyFill="1" applyBorder="1" applyAlignment="1">
      <alignment horizontal="center" vertical="center"/>
    </xf>
    <xf numFmtId="0" fontId="43" fillId="0" borderId="5" xfId="1" applyNumberFormat="1" applyFont="1" applyFill="1" applyBorder="1" applyAlignment="1">
      <alignment horizontal="center" vertical="center"/>
    </xf>
    <xf numFmtId="0" fontId="34" fillId="2" borderId="24" xfId="0" applyFont="1" applyFill="1" applyBorder="1" applyAlignment="1">
      <alignment horizontal="center" vertical="center"/>
    </xf>
    <xf numFmtId="0" fontId="34" fillId="2" borderId="27" xfId="0" applyFont="1" applyFill="1" applyBorder="1" applyAlignment="1">
      <alignment horizontal="center" vertical="center"/>
    </xf>
    <xf numFmtId="0" fontId="34" fillId="2" borderId="26" xfId="0" applyFont="1" applyFill="1" applyBorder="1" applyAlignment="1">
      <alignment horizontal="center" vertical="center"/>
    </xf>
    <xf numFmtId="0" fontId="34" fillId="2" borderId="4" xfId="0" applyFont="1" applyFill="1" applyBorder="1" applyAlignment="1">
      <alignment horizontal="center" vertical="center"/>
    </xf>
    <xf numFmtId="0" fontId="34" fillId="2" borderId="15" xfId="0" applyFont="1" applyFill="1" applyBorder="1" applyAlignment="1">
      <alignment horizontal="center" vertical="center"/>
    </xf>
    <xf numFmtId="0" fontId="34" fillId="2" borderId="5" xfId="0" applyFont="1" applyFill="1" applyBorder="1" applyAlignment="1">
      <alignment horizontal="center" vertical="center"/>
    </xf>
    <xf numFmtId="0" fontId="34" fillId="2" borderId="4" xfId="0" applyFont="1" applyFill="1" applyBorder="1" applyAlignment="1">
      <alignment horizontal="center" vertical="center" wrapText="1"/>
    </xf>
    <xf numFmtId="0" fontId="34" fillId="2" borderId="15" xfId="0" applyFont="1" applyFill="1" applyBorder="1" applyAlignment="1">
      <alignment horizontal="center" vertical="center" wrapText="1"/>
    </xf>
    <xf numFmtId="0" fontId="34" fillId="2" borderId="5" xfId="0" applyFont="1" applyFill="1" applyBorder="1" applyAlignment="1">
      <alignment horizontal="center" vertical="center" wrapText="1"/>
    </xf>
    <xf numFmtId="3" fontId="34" fillId="37" borderId="4" xfId="0" applyNumberFormat="1" applyFont="1" applyFill="1" applyBorder="1" applyAlignment="1">
      <alignment horizontal="center" vertical="center" wrapText="1"/>
    </xf>
    <xf numFmtId="3" fontId="34" fillId="37" borderId="15" xfId="0" applyNumberFormat="1" applyFont="1" applyFill="1" applyBorder="1" applyAlignment="1">
      <alignment horizontal="center" vertical="center" wrapText="1"/>
    </xf>
    <xf numFmtId="3" fontId="34" fillId="37" borderId="5" xfId="0" applyNumberFormat="1" applyFont="1" applyFill="1" applyBorder="1" applyAlignment="1">
      <alignment horizontal="center" vertical="center" wrapText="1"/>
    </xf>
    <xf numFmtId="14" fontId="34" fillId="37" borderId="4" xfId="0" applyNumberFormat="1" applyFont="1" applyFill="1" applyBorder="1" applyAlignment="1">
      <alignment horizontal="center" vertical="center" wrapText="1"/>
    </xf>
    <xf numFmtId="14" fontId="34" fillId="37" borderId="15" xfId="0" applyNumberFormat="1" applyFont="1" applyFill="1" applyBorder="1" applyAlignment="1">
      <alignment horizontal="center" vertical="center" wrapText="1"/>
    </xf>
    <xf numFmtId="14" fontId="34" fillId="37" borderId="5" xfId="0" applyNumberFormat="1" applyFont="1" applyFill="1" applyBorder="1" applyAlignment="1">
      <alignment horizontal="center" vertical="center" wrapText="1"/>
    </xf>
    <xf numFmtId="3" fontId="34" fillId="0" borderId="4" xfId="0" applyNumberFormat="1" applyFont="1" applyBorder="1" applyAlignment="1">
      <alignment horizontal="center" vertical="center" wrapText="1"/>
    </xf>
    <xf numFmtId="3" fontId="34" fillId="0" borderId="15" xfId="0" applyNumberFormat="1" applyFont="1" applyBorder="1" applyAlignment="1">
      <alignment horizontal="center" vertical="center" wrapText="1"/>
    </xf>
    <xf numFmtId="3" fontId="34" fillId="0" borderId="5" xfId="0" applyNumberFormat="1" applyFont="1" applyBorder="1" applyAlignment="1">
      <alignment horizontal="center" vertical="center" wrapText="1"/>
    </xf>
    <xf numFmtId="0" fontId="23" fillId="34" borderId="40" xfId="0" applyFont="1" applyFill="1" applyBorder="1" applyAlignment="1">
      <alignment horizontal="center" vertical="center"/>
    </xf>
    <xf numFmtId="0" fontId="23" fillId="34" borderId="20" xfId="0" applyFont="1" applyFill="1" applyBorder="1" applyAlignment="1">
      <alignment horizontal="center" vertical="center"/>
    </xf>
    <xf numFmtId="0" fontId="23" fillId="34" borderId="21" xfId="0" applyFont="1" applyFill="1" applyBorder="1" applyAlignment="1">
      <alignment horizontal="center" vertical="center"/>
    </xf>
    <xf numFmtId="0" fontId="23" fillId="34" borderId="0" xfId="0" applyFont="1" applyFill="1" applyAlignment="1">
      <alignment horizontal="center" vertical="center"/>
    </xf>
    <xf numFmtId="0" fontId="23" fillId="34" borderId="22" xfId="0" applyFont="1" applyFill="1" applyBorder="1" applyAlignment="1">
      <alignment horizontal="center" vertical="center"/>
    </xf>
    <xf numFmtId="0" fontId="23" fillId="34" borderId="23" xfId="0" applyFont="1" applyFill="1" applyBorder="1" applyAlignment="1">
      <alignment horizontal="center" vertical="center"/>
    </xf>
    <xf numFmtId="0" fontId="43" fillId="2" borderId="24" xfId="0" applyFont="1" applyFill="1" applyBorder="1" applyAlignment="1">
      <alignment horizontal="center" vertical="center"/>
    </xf>
    <xf numFmtId="0" fontId="43" fillId="2" borderId="26" xfId="0" applyFont="1" applyFill="1" applyBorder="1" applyAlignment="1">
      <alignment horizontal="center" vertical="center"/>
    </xf>
    <xf numFmtId="0" fontId="43" fillId="2" borderId="4" xfId="0" applyFont="1" applyFill="1" applyBorder="1" applyAlignment="1">
      <alignment horizontal="center" vertical="center"/>
    </xf>
    <xf numFmtId="0" fontId="43" fillId="2" borderId="5" xfId="0" applyFont="1" applyFill="1" applyBorder="1" applyAlignment="1">
      <alignment horizontal="center" vertical="center"/>
    </xf>
    <xf numFmtId="0" fontId="22" fillId="0" borderId="41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</cellXfs>
  <cellStyles count="1340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1 2" xfId="569" xr:uid="{3D1C6614-D1CC-4922-A61A-86723E190BE1}"/>
    <cellStyle name="60% - Ênfase1 3" xfId="641" xr:uid="{2752CE33-2EED-4089-9255-11E03C82D939}"/>
    <cellStyle name="60% - Ênfase1 4" xfId="560" xr:uid="{3B307083-756E-4081-8D9E-BC6194EB316B}"/>
    <cellStyle name="60% - Ênfase2" xfId="26" builtinId="36" customBuiltin="1"/>
    <cellStyle name="60% - Ênfase2 2" xfId="570" xr:uid="{62FC099C-776B-48FF-8194-8B6DA3973150}"/>
    <cellStyle name="60% - Ênfase2 3" xfId="642" xr:uid="{19EAC8F1-E377-4E6A-AFAC-F9C2D77E83C0}"/>
    <cellStyle name="60% - Ênfase2 4" xfId="561" xr:uid="{4118F542-C0FA-4D36-97BD-11F1310F22C6}"/>
    <cellStyle name="60% - Ênfase3" xfId="30" builtinId="40" customBuiltin="1"/>
    <cellStyle name="60% - Ênfase3 2" xfId="571" xr:uid="{0C6DCAC8-9644-434E-994F-0EBDC0C80A73}"/>
    <cellStyle name="60% - Ênfase3 3" xfId="643" xr:uid="{A9213B9B-F6AE-4EAC-A0AA-6F0FAA3BBBF8}"/>
    <cellStyle name="60% - Ênfase3 4" xfId="562" xr:uid="{F1C6AE1A-A977-43E4-8CED-2250B580ED62}"/>
    <cellStyle name="60% - Ênfase4" xfId="34" builtinId="44" customBuiltin="1"/>
    <cellStyle name="60% - Ênfase4 2" xfId="572" xr:uid="{22CFC9EF-D38C-4F91-879F-D84506F615D9}"/>
    <cellStyle name="60% - Ênfase4 3" xfId="644" xr:uid="{B5149A7A-6053-493C-A141-B3C0BA9165EB}"/>
    <cellStyle name="60% - Ênfase4 4" xfId="563" xr:uid="{38CDA74E-BA7A-4EDA-AD1F-338924336D46}"/>
    <cellStyle name="60% - Ênfase5" xfId="38" builtinId="48" customBuiltin="1"/>
    <cellStyle name="60% - Ênfase5 2" xfId="573" xr:uid="{1FF07E6A-4EAD-4359-88E2-79C4286FE93D}"/>
    <cellStyle name="60% - Ênfase5 3" xfId="645" xr:uid="{89DED353-4EC3-4C78-B55F-81965EEFC320}"/>
    <cellStyle name="60% - Ênfase5 4" xfId="564" xr:uid="{2F177906-E22D-445D-98D0-BDE208DFA4ED}"/>
    <cellStyle name="60% - Ênfase6" xfId="42" builtinId="52" customBuiltin="1"/>
    <cellStyle name="60% - Ênfase6 2" xfId="574" xr:uid="{8373A5FF-DAFF-4ED7-AC99-F4D888BD7189}"/>
    <cellStyle name="60% - Ênfase6 3" xfId="646" xr:uid="{9975EDC6-39E9-4965-ABE6-5312C0A38546}"/>
    <cellStyle name="60% - Ênfase6 4" xfId="565" xr:uid="{017A14D8-FD08-4B9B-9BE2-1F9EB2883811}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Comma 2" xfId="618" xr:uid="{F3B6CC6E-28EC-4F61-B274-B3FAD2B692C8}"/>
    <cellStyle name="Comma 2 2" xfId="630" xr:uid="{BAF8BA0F-863B-43DB-8B53-38F202755A5A}"/>
    <cellStyle name="Comma 2 2 2" xfId="694" xr:uid="{76B9BB66-3600-4FA4-AB49-F3AB051B2619}"/>
    <cellStyle name="Comma 2 2 2 2" xfId="730" xr:uid="{98E27291-5942-4C92-825B-D4C7B9839B82}"/>
    <cellStyle name="Comma 2 2 2 2 2" xfId="1333" xr:uid="{43090DCF-0736-481A-8477-6233B6990127}"/>
    <cellStyle name="Comma 2 2 2 3" xfId="1302" xr:uid="{A17CC14B-61B4-4F0E-BF61-2EDBE1F352EB}"/>
    <cellStyle name="Comma 2 2 3" xfId="1278" xr:uid="{CFC14788-B90E-47C8-AB61-4757651B912A}"/>
    <cellStyle name="Comma 2 3" xfId="688" xr:uid="{B5D16A1F-0050-435F-8E07-64D27D5CA1F9}"/>
    <cellStyle name="Comma 2 3 2" xfId="724" xr:uid="{35DF9687-EFA0-472F-A196-4845BC75A8EC}"/>
    <cellStyle name="Comma 2 3 2 2" xfId="1327" xr:uid="{70BF8A79-D443-490E-BD22-D0B096D4F5D4}"/>
    <cellStyle name="Comma 2 3 3" xfId="1296" xr:uid="{453FC675-E5DD-46AC-A4F1-D7C4BDF3F3AC}"/>
    <cellStyle name="Comma 2 4" xfId="1272" xr:uid="{72D97B18-5ACD-444F-9E80-8267201FBAE8}"/>
    <cellStyle name="Comma 3" xfId="621" xr:uid="{D3210626-6220-4799-A34C-7B413B0A786A}"/>
    <cellStyle name="Comma 3 2" xfId="689" xr:uid="{C237ABC5-E233-4A13-AE27-EB1E9A05F835}"/>
    <cellStyle name="Comma 3 2 2" xfId="725" xr:uid="{7CA4EED9-62C7-4A81-96AA-A870BCB9AA7E}"/>
    <cellStyle name="Comma 3 2 2 2" xfId="1328" xr:uid="{E3282856-CBC8-4C6B-B90A-343C5DE7EFC7}"/>
    <cellStyle name="Comma 3 2 3" xfId="1297" xr:uid="{580792D2-4B82-4471-A0CB-C84A5A8B2061}"/>
    <cellStyle name="Comma 3 3" xfId="1273" xr:uid="{42ECD855-0337-43A1-9CF0-CAF214FEF6BB}"/>
    <cellStyle name="Currency 2" xfId="619" xr:uid="{428AF9EB-D8C8-4D5F-854B-6098FCC19DBA}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 2" xfId="589" xr:uid="{AE9B3D2D-498C-4B44-8104-F93E9CCA5AED}"/>
    <cellStyle name="Moeda 2 2" xfId="665" xr:uid="{ED7133E9-D675-413C-98E8-5D2DF4CA6E3C}"/>
    <cellStyle name="Moeda 2 2 2" xfId="710" xr:uid="{697A8097-7E9A-411F-9D25-19351E89A813}"/>
    <cellStyle name="Moeda 2 2 2 2" xfId="1313" xr:uid="{89AC4246-708D-403A-81AA-8FAE57920FAF}"/>
    <cellStyle name="Moeda 2 2 3" xfId="1282" xr:uid="{9D2681B0-B70F-4466-86B4-AE7B8D0D92E4}"/>
    <cellStyle name="Moeda 2 3" xfId="1258" xr:uid="{4A502725-AEB6-491E-A446-125268AEBD26}"/>
    <cellStyle name="Moeda 3" xfId="594" xr:uid="{B25EFE8D-0403-4CDD-854C-9D2BC3B80BFB}"/>
    <cellStyle name="Moeda 3 2" xfId="669" xr:uid="{43F3D94D-7ED6-4D15-AB51-35374C764481}"/>
    <cellStyle name="Moeda 3 2 2" xfId="714" xr:uid="{DC282A8A-3E11-447E-B626-D689B876810E}"/>
    <cellStyle name="Moeda 3 2 2 2" xfId="1317" xr:uid="{E7E9EC7F-8F33-44F6-9B1E-DBFC047DE568}"/>
    <cellStyle name="Moeda 3 2 3" xfId="1286" xr:uid="{6EC0D828-6FC6-4CC1-9E6E-24F8E3D989AF}"/>
    <cellStyle name="Moeda 3 3" xfId="1262" xr:uid="{5349617F-D314-4307-A3E6-8C10276C0E01}"/>
    <cellStyle name="Moeda 4" xfId="661" xr:uid="{55168BD7-B7BC-43FF-A483-1A89B73E5210}"/>
    <cellStyle name="Moeda 4 2" xfId="708" xr:uid="{4843677A-C4DC-4ADF-9F82-4E4E971F8E02}"/>
    <cellStyle name="Moeda 4 2 2" xfId="1311" xr:uid="{244F1959-CA2E-4A99-8027-AA198F176907}"/>
    <cellStyle name="Moeda 4 3" xfId="1280" xr:uid="{5A14641D-408F-4FB0-AD90-E9859AEE232B}"/>
    <cellStyle name="Neutro" xfId="9" builtinId="28" customBuiltin="1"/>
    <cellStyle name="Neutro 2" xfId="568" xr:uid="{71C4CADE-02C5-44B7-AD27-F148EA1AED65}"/>
    <cellStyle name="Neutro 3" xfId="639" xr:uid="{8158BFAA-C5B9-41C3-865F-CC00E7F86E86}"/>
    <cellStyle name="Neutro 4" xfId="559" xr:uid="{042D7147-886E-4125-A0A8-C0481145DB61}"/>
    <cellStyle name="Normal" xfId="0" builtinId="0"/>
    <cellStyle name="Normal 10" xfId="579" xr:uid="{723F0D0B-C9E6-4667-8AD0-9CD01E4C5B81}"/>
    <cellStyle name="Normal 10 2" xfId="654" xr:uid="{CF8E0EEA-F9FC-4932-809B-430AF8E249AD}"/>
    <cellStyle name="Normal 11" xfId="580" xr:uid="{7BB7E262-02E5-429B-8292-4D4731DA0739}"/>
    <cellStyle name="Normal 11 2" xfId="655" xr:uid="{0ED1EDDE-BAC9-4B11-9F40-49D6B68FCD90}"/>
    <cellStyle name="Normal 12" xfId="581" xr:uid="{E12A5B25-7270-487C-8B60-BB500F4FBBA8}"/>
    <cellStyle name="Normal 12 2" xfId="656" xr:uid="{4FD14E13-4018-4494-B694-E4ABF0762285}"/>
    <cellStyle name="Normal 12 3" xfId="740" xr:uid="{BADEFE85-C9D9-4D75-A507-E9B261B5B269}"/>
    <cellStyle name="Normal 12 3 2" xfId="1334" xr:uid="{02881233-739B-40D3-9C74-4E968EF6A88F}"/>
    <cellStyle name="Normal 13" xfId="582" xr:uid="{921A58B0-FD84-4E2B-BC63-9E4AA4F8AAA7}"/>
    <cellStyle name="Normal 13 2" xfId="657" xr:uid="{22894615-4724-4BA6-85CF-E99404A836DF}"/>
    <cellStyle name="Normal 14" xfId="583" xr:uid="{4F6D3F08-0BD1-48B0-A9F5-D2B8ED73F6A5}"/>
    <cellStyle name="Normal 14 2" xfId="658" xr:uid="{DD29A595-3776-4C02-A946-F0D22DF6F815}"/>
    <cellStyle name="Normal 15" xfId="584" xr:uid="{F4CEDAB5-BBD1-4A87-84CE-8A74D7F9C48A}"/>
    <cellStyle name="Normal 15 2" xfId="659" xr:uid="{EB990D97-42CB-43EF-86C8-098D335A936C}"/>
    <cellStyle name="Normal 16" xfId="585" xr:uid="{022FC21F-6D1E-4F75-911B-6A15C8FD0EC2}"/>
    <cellStyle name="Normal 16 2" xfId="660" xr:uid="{CF94997B-796A-477C-8771-D2BE49A80C2E}"/>
    <cellStyle name="Normal 17" xfId="586" xr:uid="{995E61BB-A5C2-474C-8FF7-FD7F18C4C857}"/>
    <cellStyle name="Normal 17 2" xfId="662" xr:uid="{0A33F0FB-AF39-4B3A-B146-098F194F8415}"/>
    <cellStyle name="Normal 18" xfId="587" xr:uid="{B2AEBF4C-5D6F-4E35-A3ED-0117D00F9B69}"/>
    <cellStyle name="Normal 18 2" xfId="663" xr:uid="{B3304B62-9CA2-450D-BCDE-1A33C23517E1}"/>
    <cellStyle name="Normal 19" xfId="591" xr:uid="{3D877A9A-1263-4D56-9929-A500E43A761F}"/>
    <cellStyle name="Normal 2" xfId="43" xr:uid="{00000000-0005-0000-0000-000020000000}"/>
    <cellStyle name="Normal 2 2" xfId="624" xr:uid="{4B11FD8E-A271-4F9B-A61E-27FA7BE929D2}"/>
    <cellStyle name="Normal 2 3" xfId="631" xr:uid="{BC078728-9EB6-47E3-A8C1-0566905C0AD1}"/>
    <cellStyle name="Normal 2 3 2" xfId="700" xr:uid="{B8311D1B-4D7A-4346-ADB2-642CD5F6476C}"/>
    <cellStyle name="Normal 2 4" xfId="614" xr:uid="{AC8400F3-B172-4EE3-AF45-3E4B4AA989F4}"/>
    <cellStyle name="Normal 20" xfId="595" xr:uid="{E84FB04B-BBA9-4224-B618-C62D1F482104}"/>
    <cellStyle name="Normal 20 2" xfId="670" xr:uid="{0B634EBF-13F3-4200-96FF-9E65452F1DC1}"/>
    <cellStyle name="Normal 21" xfId="596" xr:uid="{0F97C780-1E11-438F-BF05-718DFB30563A}"/>
    <cellStyle name="Normal 22" xfId="597" xr:uid="{A786F305-68E9-4C8F-A85A-491760EF13B2}"/>
    <cellStyle name="Normal 22 2" xfId="671" xr:uid="{273A5BB2-5E5F-4398-953B-E73F59E1FD48}"/>
    <cellStyle name="Normal 23" xfId="598" xr:uid="{A0AB0AC0-0110-4B57-B322-2D6AD3DE04D0}"/>
    <cellStyle name="Normal 23 2" xfId="672" xr:uid="{4B71488F-8685-47AD-A053-B2A616CB98CA}"/>
    <cellStyle name="Normal 24" xfId="599" xr:uid="{529DE7B3-4866-41CB-9BE0-C0199BDEAA41}"/>
    <cellStyle name="Normal 24 2" xfId="673" xr:uid="{4CBB6DB5-ECF7-449F-9F57-AB6BE9DA650E}"/>
    <cellStyle name="Normal 25" xfId="604" xr:uid="{7AC88D67-FC58-4406-B3C5-2E9F872E7C95}"/>
    <cellStyle name="Normal 25 2" xfId="677" xr:uid="{117FC14B-C8BB-4BC5-A2D4-A0D27F7A7D7E}"/>
    <cellStyle name="Normal 26" xfId="605" xr:uid="{0A8B45E9-EC70-4A61-9E61-B1BA5C5747A0}"/>
    <cellStyle name="Normal 26 2" xfId="678" xr:uid="{3D1C19C0-4780-4D2F-898E-B2A5087AC4F4}"/>
    <cellStyle name="Normal 27" xfId="606" xr:uid="{235F8843-23F6-4917-B2D2-29C75D7B046E}"/>
    <cellStyle name="Normal 27 2" xfId="679" xr:uid="{B77378B6-92EB-4EC9-9911-8A792C12E231}"/>
    <cellStyle name="Normal 28" xfId="609" xr:uid="{ED406786-4E07-4480-9AF9-E8937647FB8D}"/>
    <cellStyle name="Normal 28 2" xfId="682" xr:uid="{97956209-0F65-4243-9D2B-E0B902A7AD38}"/>
    <cellStyle name="Normal 29" xfId="610" xr:uid="{8189C7EC-A743-4321-A71F-D76D05BD3676}"/>
    <cellStyle name="Normal 29 2" xfId="683" xr:uid="{A5C95D5D-8782-4B9A-A772-E511D8D69CDB}"/>
    <cellStyle name="Normal 3" xfId="566" xr:uid="{0E2FF84A-35AF-4613-B8BC-E8DC4D5BC92C}"/>
    <cellStyle name="Normal 3 2" xfId="617" xr:uid="{4E910F65-394A-4D4E-977E-FE54DC5A60CD}"/>
    <cellStyle name="Normal 3 3" xfId="647" xr:uid="{5017C116-63C4-4597-81F6-51A1368FDE2B}"/>
    <cellStyle name="Normal 30" xfId="634" xr:uid="{76ADAB55-DDC8-4208-BF46-696C2378B7C4}"/>
    <cellStyle name="Normal 30 2" xfId="695" xr:uid="{BF9A52B4-CA12-4468-926D-52679E2742D0}"/>
    <cellStyle name="Normal 31" xfId="635" xr:uid="{291DEAA9-081E-4FBC-A93C-21EE0C156805}"/>
    <cellStyle name="Normal 31 2" xfId="696" xr:uid="{8BFC0AC7-A1A8-4540-8FC5-1C5911261CCC}"/>
    <cellStyle name="Normal 32" xfId="636" xr:uid="{D30C7F74-A2EA-40B3-8C4E-EF8E880FD3FB}"/>
    <cellStyle name="Normal 33" xfId="697" xr:uid="{12C26FBE-E25E-4988-807E-A6D8465DC97C}"/>
    <cellStyle name="Normal 34" xfId="698" xr:uid="{C667C44D-D2BD-4991-9A94-6E0D54605B73}"/>
    <cellStyle name="Normal 35" xfId="731" xr:uid="{10648D8B-85FB-4BC2-8C1E-63917F423C1E}"/>
    <cellStyle name="Normal 36" xfId="732" xr:uid="{9A20089D-E8CA-47D6-8789-51876868D071}"/>
    <cellStyle name="Normal 37" xfId="733" xr:uid="{52781C4B-5830-4EEF-848B-F4807FE34F14}"/>
    <cellStyle name="Normal 38" xfId="734" xr:uid="{A8C95B44-FDF2-44E6-AA04-AA005B4A9F78}"/>
    <cellStyle name="Normal 39" xfId="735" xr:uid="{C57087AC-5FCF-4CAF-AFEF-E71F052AFE1D}"/>
    <cellStyle name="Normal 4" xfId="44" xr:uid="{00000000-0005-0000-0000-000021000000}"/>
    <cellStyle name="Normal 4 2" xfId="627" xr:uid="{20F237D1-906B-4671-8DD4-D9FD46DEE654}"/>
    <cellStyle name="Normal 4 3" xfId="648" xr:uid="{09C6D9EB-677B-4A2F-9B71-286804B726B9}"/>
    <cellStyle name="Normal 40" xfId="736" xr:uid="{BB5B0D31-4CFC-4106-8642-889646BB9971}"/>
    <cellStyle name="Normal 41" xfId="737" xr:uid="{CD02FB10-04F6-439C-B2EE-5B5B1B985C41}"/>
    <cellStyle name="Normal 42" xfId="738" xr:uid="{376D31EB-4648-4474-A3E0-B4A616EA0FAE}"/>
    <cellStyle name="Normal 43" xfId="739" xr:uid="{2730F574-EADD-4EB8-A889-FFACE910BEB8}"/>
    <cellStyle name="Normal 44" xfId="741" xr:uid="{8BE6CA18-B99D-4020-92EE-696480DD7AB8}"/>
    <cellStyle name="Normal 44 2" xfId="1335" xr:uid="{1E5A33D4-C28B-4BDD-9544-3D6221356463}"/>
    <cellStyle name="Normal 45" xfId="742" xr:uid="{A723BD3D-603F-41DA-BD85-BA8355098561}"/>
    <cellStyle name="Normal 45 2" xfId="1336" xr:uid="{89AF6914-2F2E-4E8E-9262-A84323A38680}"/>
    <cellStyle name="Normal 46" xfId="743" xr:uid="{05CD8E24-567E-47BF-A8EA-5DC76862943D}"/>
    <cellStyle name="Normal 46 2" xfId="1337" xr:uid="{A3ADF268-F5EB-4E90-A4FD-51CA8A7CCE51}"/>
    <cellStyle name="Normal 47" xfId="1339" xr:uid="{948C0DB6-8724-4642-B388-0F53EAFEC6A3}"/>
    <cellStyle name="Normal 5" xfId="567" xr:uid="{F520676A-DF6A-45BF-8EE9-E2F46E36FA6B}"/>
    <cellStyle name="Normal 5 2" xfId="632" xr:uid="{1D4B1E69-4676-4D61-96B8-8BA549BB8252}"/>
    <cellStyle name="Normal 5 3" xfId="649" xr:uid="{50213528-5A3C-4D3C-BEEB-A6FEAA79DA37}"/>
    <cellStyle name="Normal 6" xfId="575" xr:uid="{1E764030-A531-4A29-A1E9-1B3BD1CDF4C2}"/>
    <cellStyle name="Normal 6 2" xfId="650" xr:uid="{DDBDF809-D585-4451-BB92-9ADFDC32C754}"/>
    <cellStyle name="Normal 7" xfId="576" xr:uid="{520322B0-EBC6-4153-891E-CFCF918960AF}"/>
    <cellStyle name="Normal 7 2" xfId="651" xr:uid="{91B1C8EC-B395-4DBD-BF67-662866544B23}"/>
    <cellStyle name="Normal 8" xfId="577" xr:uid="{088082C1-D30F-46A1-8B03-3222D58BED31}"/>
    <cellStyle name="Normal 8 2" xfId="652" xr:uid="{495AEAAB-79A1-4C6F-AA49-44964EEE21BC}"/>
    <cellStyle name="Normal 9" xfId="578" xr:uid="{A280C539-C944-4A1D-BA60-5796FBD1C3A1}"/>
    <cellStyle name="Normal 9 2" xfId="653" xr:uid="{33A04A03-BA55-426F-BD84-2FA53A79E84C}"/>
    <cellStyle name="Nota" xfId="16" builtinId="10" customBuiltin="1"/>
    <cellStyle name="Nota 2" xfId="640" xr:uid="{F9955ED6-7AF0-426B-8581-A82325BD5E9D}"/>
    <cellStyle name="Percent 2" xfId="620" xr:uid="{66F204CE-9E10-4C93-ABCF-D5BD5804C6EE}"/>
    <cellStyle name="Porcentagem" xfId="1338" builtinId="5"/>
    <cellStyle name="Porcentagem 2" xfId="601" xr:uid="{4E90D4D8-084B-43A8-A543-3A59236B1995}"/>
    <cellStyle name="Porcentagem 2 2" xfId="623" xr:uid="{0E2164EC-0241-4DFB-B8C4-C91D14871601}"/>
    <cellStyle name="Porcentagem 2 3" xfId="613" xr:uid="{A2E45309-99CA-44F9-B185-6EA09CB35702}"/>
    <cellStyle name="Porcentagem 3" xfId="629" xr:uid="{2166889F-B0CF-46F0-ABDC-FBF8A6CBAB80}"/>
    <cellStyle name="Porcentagem 4" xfId="638" xr:uid="{AB7E4FFB-63F0-468D-98A1-B4249638BBD0}"/>
    <cellStyle name="Ruim" xfId="8" builtinId="27" customBuiltin="1"/>
    <cellStyle name="Ruim 2" xfId="633" xr:uid="{281FC017-9C6D-42BA-9F9B-A5584795A394}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1" builtinId="3"/>
    <cellStyle name="Vírgula 10" xfId="558" xr:uid="{F54FC1A4-0517-462C-8C57-56B56BC5B4B8}"/>
    <cellStyle name="Vírgula 10 2" xfId="1256" xr:uid="{D564617D-F00E-4DBF-BFF6-1498ED5CC5DD}"/>
    <cellStyle name="Vírgula 11" xfId="699" xr:uid="{9079A50F-A76C-4003-8BBA-25F37F332F7B}"/>
    <cellStyle name="Vírgula 11 2" xfId="1303" xr:uid="{8BEAC5BF-2900-41B1-AF7F-A3CDCDD35C98}"/>
    <cellStyle name="Vírgula 2" xfId="45" xr:uid="{00000000-0005-0000-0000-00002E000000}"/>
    <cellStyle name="Vírgula 2 2" xfId="47" xr:uid="{00000000-0005-0000-0000-00002F000000}"/>
    <cellStyle name="Vírgula 2 2 10" xfId="593" xr:uid="{AABB136F-D763-4A49-ABF3-4C72ABE8D894}"/>
    <cellStyle name="Vírgula 2 2 10 2" xfId="1261" xr:uid="{90E70B58-A55B-44C8-B8A0-38A955127FFC}"/>
    <cellStyle name="Vírgula 2 2 11" xfId="745" xr:uid="{BA3AB548-5C76-412B-97FE-3A6535C5EF0A}"/>
    <cellStyle name="Vírgula 2 2 2" xfId="49" xr:uid="{00000000-0005-0000-0000-000030000000}"/>
    <cellStyle name="Vírgula 2 2 2 10" xfId="747" xr:uid="{CB7AD962-D0A9-4A2D-8876-22F57F1CDE76}"/>
    <cellStyle name="Vírgula 2 2 2 2" xfId="53" xr:uid="{00000000-0005-0000-0000-000031000000}"/>
    <cellStyle name="Vírgula 2 2 2 2 10" xfId="751" xr:uid="{A387D2C2-C963-495E-A62C-9C07A47EBA59}"/>
    <cellStyle name="Vírgula 2 2 2 2 2" xfId="61" xr:uid="{00000000-0005-0000-0000-000032000000}"/>
    <cellStyle name="Vírgula 2 2 2 2 2 2" xfId="77" xr:uid="{EE125C2A-F482-4F7E-A672-CADA91C38637}"/>
    <cellStyle name="Vírgula 2 2 2 2 2 2 2" xfId="109" xr:uid="{FC2E7799-1BEE-4D89-BA08-39B56A528A8B}"/>
    <cellStyle name="Vírgula 2 2 2 2 2 2 2 2" xfId="173" xr:uid="{84850A62-B5A7-4CCA-AAAB-6889977D57A7}"/>
    <cellStyle name="Vírgula 2 2 2 2 2 2 2 2 2" xfId="301" xr:uid="{52D90089-6EF0-4BF2-AFDE-1970F2886C68}"/>
    <cellStyle name="Vírgula 2 2 2 2 2 2 2 2 2 2" xfId="557" xr:uid="{7B11B416-2E03-4425-90B5-1B7713A75F74}"/>
    <cellStyle name="Vírgula 2 2 2 2 2 2 2 2 2 2 2" xfId="1255" xr:uid="{64B3BE1C-1AC4-419B-B6ED-86B16D868CCB}"/>
    <cellStyle name="Vírgula 2 2 2 2 2 2 2 2 2 3" xfId="999" xr:uid="{1781FA4C-56F9-41DB-AAA8-3998568A400C}"/>
    <cellStyle name="Vírgula 2 2 2 2 2 2 2 2 3" xfId="429" xr:uid="{17B6932E-BA29-4E77-95FC-CAFC9FCA15B0}"/>
    <cellStyle name="Vírgula 2 2 2 2 2 2 2 2 3 2" xfId="1127" xr:uid="{D3B8A0C0-76B2-4564-BF10-050A2901A1DC}"/>
    <cellStyle name="Vírgula 2 2 2 2 2 2 2 2 4" xfId="871" xr:uid="{83743A4B-B1F8-4912-9FAF-F082CCE6B35F}"/>
    <cellStyle name="Vírgula 2 2 2 2 2 2 2 3" xfId="237" xr:uid="{B773E15A-3AC7-47C1-B796-E75E5A631496}"/>
    <cellStyle name="Vírgula 2 2 2 2 2 2 2 3 2" xfId="493" xr:uid="{60C23FAA-1B79-4732-B7E4-45D69DB90C76}"/>
    <cellStyle name="Vírgula 2 2 2 2 2 2 2 3 2 2" xfId="1191" xr:uid="{A04C2FC9-E441-461B-B2C8-2CDF4AAE0C00}"/>
    <cellStyle name="Vírgula 2 2 2 2 2 2 2 3 3" xfId="935" xr:uid="{BCEC254E-7AF3-4F67-BBA1-D48D9A6F932B}"/>
    <cellStyle name="Vírgula 2 2 2 2 2 2 2 4" xfId="365" xr:uid="{92520BB0-FFDD-4625-963F-00BA1BBE1106}"/>
    <cellStyle name="Vírgula 2 2 2 2 2 2 2 4 2" xfId="1063" xr:uid="{5607F656-1330-4074-BB1D-E4559976CFED}"/>
    <cellStyle name="Vírgula 2 2 2 2 2 2 2 5" xfId="807" xr:uid="{FA96AF18-2D11-4420-8004-74E60EB410A6}"/>
    <cellStyle name="Vírgula 2 2 2 2 2 2 3" xfId="141" xr:uid="{BFC1AAA2-B49B-4670-B99A-6527916F7CF3}"/>
    <cellStyle name="Vírgula 2 2 2 2 2 2 3 2" xfId="269" xr:uid="{AE0C0B75-638C-4DE4-902F-2B72DD0E217A}"/>
    <cellStyle name="Vírgula 2 2 2 2 2 2 3 2 2" xfId="525" xr:uid="{DE7F4D73-2ABB-4323-B701-B81EFCCD3663}"/>
    <cellStyle name="Vírgula 2 2 2 2 2 2 3 2 2 2" xfId="1223" xr:uid="{CF591EC2-77A4-4828-809B-427C7659AD12}"/>
    <cellStyle name="Vírgula 2 2 2 2 2 2 3 2 3" xfId="967" xr:uid="{C1416EC1-F0E0-4935-BD8A-C101F52F418A}"/>
    <cellStyle name="Vírgula 2 2 2 2 2 2 3 3" xfId="397" xr:uid="{AA578C56-A26D-478D-8CAC-55CC9AF4ABC6}"/>
    <cellStyle name="Vírgula 2 2 2 2 2 2 3 3 2" xfId="1095" xr:uid="{F95D542C-775E-4C5F-98B9-3EF5C568DBF9}"/>
    <cellStyle name="Vírgula 2 2 2 2 2 2 3 4" xfId="839" xr:uid="{25748BCC-F9AE-46F9-85FD-16DDFB34D751}"/>
    <cellStyle name="Vírgula 2 2 2 2 2 2 4" xfId="205" xr:uid="{87D4DA9B-4664-45D9-9CEF-C4932461C2F4}"/>
    <cellStyle name="Vírgula 2 2 2 2 2 2 4 2" xfId="461" xr:uid="{5D61CDEC-2F1B-49B2-9546-C52B916D07C4}"/>
    <cellStyle name="Vírgula 2 2 2 2 2 2 4 2 2" xfId="1159" xr:uid="{EF487843-DA48-4343-A47E-D9B5A46799F6}"/>
    <cellStyle name="Vírgula 2 2 2 2 2 2 4 3" xfId="903" xr:uid="{DE348E9F-6439-4C17-8C7E-AD3924068D2B}"/>
    <cellStyle name="Vírgula 2 2 2 2 2 2 5" xfId="333" xr:uid="{8990BE9C-0418-4F5F-88A6-D5B2F1BBD35C}"/>
    <cellStyle name="Vírgula 2 2 2 2 2 2 5 2" xfId="1031" xr:uid="{3D70A31F-EA8D-4882-B0D4-ED1CAA460485}"/>
    <cellStyle name="Vírgula 2 2 2 2 2 2 6" xfId="775" xr:uid="{5AAC0F9F-F3FB-46A0-ABA1-1C60AD078E19}"/>
    <cellStyle name="Vírgula 2 2 2 2 2 3" xfId="93" xr:uid="{6FDF8EBC-FE36-4E98-9C19-6FDECDE52C4B}"/>
    <cellStyle name="Vírgula 2 2 2 2 2 3 2" xfId="157" xr:uid="{F4096054-D401-4B07-AB6B-205E5951E3FB}"/>
    <cellStyle name="Vírgula 2 2 2 2 2 3 2 2" xfId="285" xr:uid="{6D25D01B-5C1B-4A4D-A51E-D717DDABD454}"/>
    <cellStyle name="Vírgula 2 2 2 2 2 3 2 2 2" xfId="541" xr:uid="{A51D81E8-F41C-4F4C-9D1E-FEEE58068BC3}"/>
    <cellStyle name="Vírgula 2 2 2 2 2 3 2 2 2 2" xfId="1239" xr:uid="{C4E5266C-5C96-45F2-AB6A-A81A035B8015}"/>
    <cellStyle name="Vírgula 2 2 2 2 2 3 2 2 3" xfId="983" xr:uid="{B4EC07EB-BE52-49A7-B7A9-AB910D6A377B}"/>
    <cellStyle name="Vírgula 2 2 2 2 2 3 2 3" xfId="413" xr:uid="{636286A6-4571-4CF7-8237-7AEF8598663B}"/>
    <cellStyle name="Vírgula 2 2 2 2 2 3 2 3 2" xfId="1111" xr:uid="{4ABDC75E-17C9-4560-B166-051FC9136092}"/>
    <cellStyle name="Vírgula 2 2 2 2 2 3 2 4" xfId="855" xr:uid="{F5DBACFA-7632-4211-AFF7-4F59DC42B60D}"/>
    <cellStyle name="Vírgula 2 2 2 2 2 3 3" xfId="221" xr:uid="{82619A5B-D7F6-4F6C-B2BD-B95B942D83ED}"/>
    <cellStyle name="Vírgula 2 2 2 2 2 3 3 2" xfId="477" xr:uid="{CB6B68DA-4483-4F08-BCA2-A412A4793BD4}"/>
    <cellStyle name="Vírgula 2 2 2 2 2 3 3 2 2" xfId="1175" xr:uid="{F0882A70-FE31-4CE9-AFFF-BD7EB670230B}"/>
    <cellStyle name="Vírgula 2 2 2 2 2 3 3 3" xfId="919" xr:uid="{869EB963-94BA-4546-A75C-1791C9B66675}"/>
    <cellStyle name="Vírgula 2 2 2 2 2 3 4" xfId="349" xr:uid="{FD5BAEF4-3CC2-4ED5-8023-04AC89787596}"/>
    <cellStyle name="Vírgula 2 2 2 2 2 3 4 2" xfId="1047" xr:uid="{9CE3797B-F793-470D-8DB6-97B84CF407C4}"/>
    <cellStyle name="Vírgula 2 2 2 2 2 3 5" xfId="791" xr:uid="{865F5074-759D-499C-B7D3-E26284164286}"/>
    <cellStyle name="Vírgula 2 2 2 2 2 4" xfId="125" xr:uid="{2B03ED63-68C3-4B9C-ABB7-CA660D8DB8C9}"/>
    <cellStyle name="Vírgula 2 2 2 2 2 4 2" xfId="253" xr:uid="{84F653B7-7E64-4AA3-A775-D458778E0DC4}"/>
    <cellStyle name="Vírgula 2 2 2 2 2 4 2 2" xfId="509" xr:uid="{C6031C0A-E8D3-4951-A316-A89CF496FCFA}"/>
    <cellStyle name="Vírgula 2 2 2 2 2 4 2 2 2" xfId="1207" xr:uid="{299CB62A-5F63-48E2-8DE0-75C26F53320A}"/>
    <cellStyle name="Vírgula 2 2 2 2 2 4 2 3" xfId="951" xr:uid="{2BFD6D2E-4490-49F5-BEB9-DAF6B30251A6}"/>
    <cellStyle name="Vírgula 2 2 2 2 2 4 3" xfId="381" xr:uid="{80EACAD3-0C48-4A05-B8EF-C2FC59366FAD}"/>
    <cellStyle name="Vírgula 2 2 2 2 2 4 3 2" xfId="1079" xr:uid="{454538BC-81AE-4DE1-87C4-A61C3E9C5389}"/>
    <cellStyle name="Vírgula 2 2 2 2 2 4 4" xfId="823" xr:uid="{7C993AF3-1412-4D71-B538-CD76CACD438B}"/>
    <cellStyle name="Vírgula 2 2 2 2 2 5" xfId="189" xr:uid="{BCF648CC-B9AE-47CF-B2AA-04C17F946E48}"/>
    <cellStyle name="Vírgula 2 2 2 2 2 5 2" xfId="445" xr:uid="{93648524-6F78-4B4E-9EC7-4CD5EFE4B14F}"/>
    <cellStyle name="Vírgula 2 2 2 2 2 5 2 2" xfId="1143" xr:uid="{7812221C-96BF-4C2B-BCCA-62FCC522BBDB}"/>
    <cellStyle name="Vírgula 2 2 2 2 2 5 3" xfId="887" xr:uid="{38B240DC-973E-477F-B0C9-69E27690E824}"/>
    <cellStyle name="Vírgula 2 2 2 2 2 6" xfId="317" xr:uid="{808B6627-DE71-48E5-A873-2FB474DAB6F1}"/>
    <cellStyle name="Vírgula 2 2 2 2 2 6 2" xfId="1015" xr:uid="{6183C6BB-E708-4DA8-A6EC-0C68F97B1419}"/>
    <cellStyle name="Vírgula 2 2 2 2 2 7" xfId="759" xr:uid="{AC9A0915-7A19-4CD6-9835-584D3771D6E0}"/>
    <cellStyle name="Vírgula 2 2 2 2 3" xfId="69" xr:uid="{23043896-2717-4FA9-B114-FC67A6FEEBD4}"/>
    <cellStyle name="Vírgula 2 2 2 2 3 2" xfId="101" xr:uid="{40FFB441-7580-4FCF-86D9-DBA271D2D451}"/>
    <cellStyle name="Vírgula 2 2 2 2 3 2 2" xfId="165" xr:uid="{ED722924-DBA3-48F6-BB54-CF2DC909F28C}"/>
    <cellStyle name="Vírgula 2 2 2 2 3 2 2 2" xfId="293" xr:uid="{1F192AB3-D27D-42E7-BD6D-179C5674E442}"/>
    <cellStyle name="Vírgula 2 2 2 2 3 2 2 2 2" xfId="549" xr:uid="{3D4B0300-5BF6-4EB1-924D-CC6CF03700CC}"/>
    <cellStyle name="Vírgula 2 2 2 2 3 2 2 2 2 2" xfId="1247" xr:uid="{FE325386-CB2B-484C-B611-EBE775C00413}"/>
    <cellStyle name="Vírgula 2 2 2 2 3 2 2 2 3" xfId="991" xr:uid="{16B623A3-74E8-4E84-B5EE-25725EC18C14}"/>
    <cellStyle name="Vírgula 2 2 2 2 3 2 2 3" xfId="421" xr:uid="{5186FF07-DC2E-4A56-B5C5-25B8B3ABCA65}"/>
    <cellStyle name="Vírgula 2 2 2 2 3 2 2 3 2" xfId="1119" xr:uid="{455371DB-49C6-49E8-8FEE-4A8BD1188FAD}"/>
    <cellStyle name="Vírgula 2 2 2 2 3 2 2 4" xfId="863" xr:uid="{3F05E05F-7A12-43E4-8BFA-8D77CAF9998E}"/>
    <cellStyle name="Vírgula 2 2 2 2 3 2 3" xfId="229" xr:uid="{5FF2E887-462C-47B4-8181-6755F8525BC3}"/>
    <cellStyle name="Vírgula 2 2 2 2 3 2 3 2" xfId="485" xr:uid="{43982336-3277-4DE3-84B6-013B2A09D308}"/>
    <cellStyle name="Vírgula 2 2 2 2 3 2 3 2 2" xfId="1183" xr:uid="{A7C18421-493B-4381-808E-C7E6DCF4CFF1}"/>
    <cellStyle name="Vírgula 2 2 2 2 3 2 3 3" xfId="927" xr:uid="{4B6B43C7-B604-4E00-9311-0CF52754E12C}"/>
    <cellStyle name="Vírgula 2 2 2 2 3 2 4" xfId="357" xr:uid="{B5A696D2-AAD9-42FC-AA1D-FD1160A7520E}"/>
    <cellStyle name="Vírgula 2 2 2 2 3 2 4 2" xfId="1055" xr:uid="{13AB61F6-21CD-4781-AE7C-3B36A5D45FF1}"/>
    <cellStyle name="Vírgula 2 2 2 2 3 2 5" xfId="799" xr:uid="{421941BD-04A6-499F-A761-0829FD293E37}"/>
    <cellStyle name="Vírgula 2 2 2 2 3 3" xfId="133" xr:uid="{06C2F8CB-76D8-44E7-84CD-BE530B4BCD3E}"/>
    <cellStyle name="Vírgula 2 2 2 2 3 3 2" xfId="261" xr:uid="{A05A19AB-B8BB-4496-A833-5F52C4C375CE}"/>
    <cellStyle name="Vírgula 2 2 2 2 3 3 2 2" xfId="517" xr:uid="{915353FB-824C-47B2-8C4D-5FC73E37633B}"/>
    <cellStyle name="Vírgula 2 2 2 2 3 3 2 2 2" xfId="1215" xr:uid="{FBF45A64-9ACE-400E-970F-BB80D6004243}"/>
    <cellStyle name="Vírgula 2 2 2 2 3 3 2 3" xfId="959" xr:uid="{D7DF6898-1D17-4373-A10B-2CDA80B77291}"/>
    <cellStyle name="Vírgula 2 2 2 2 3 3 3" xfId="389" xr:uid="{8F86BDE2-679C-4A8C-8B94-A261FF7E9EAE}"/>
    <cellStyle name="Vírgula 2 2 2 2 3 3 3 2" xfId="1087" xr:uid="{0AD36551-0DF1-4E66-8CD5-EE26C47F370F}"/>
    <cellStyle name="Vírgula 2 2 2 2 3 3 4" xfId="831" xr:uid="{AAD32750-FEC0-4988-A751-484E9527C500}"/>
    <cellStyle name="Vírgula 2 2 2 2 3 4" xfId="197" xr:uid="{EED3C591-1442-4500-BBA1-3C695470C24C}"/>
    <cellStyle name="Vírgula 2 2 2 2 3 4 2" xfId="453" xr:uid="{3DC65735-8138-4EC6-B435-FEE2BB0C548D}"/>
    <cellStyle name="Vírgula 2 2 2 2 3 4 2 2" xfId="1151" xr:uid="{CD5F68FC-E39A-49B0-8603-9D0F06362A6B}"/>
    <cellStyle name="Vírgula 2 2 2 2 3 4 3" xfId="895" xr:uid="{7DA147A7-C278-4F0A-A1D1-BE2C746CB381}"/>
    <cellStyle name="Vírgula 2 2 2 2 3 5" xfId="325" xr:uid="{26ECBF36-B38A-4204-B0ED-913EA67A1A07}"/>
    <cellStyle name="Vírgula 2 2 2 2 3 5 2" xfId="1023" xr:uid="{349D3244-0407-4247-9BBA-E0E57A377B07}"/>
    <cellStyle name="Vírgula 2 2 2 2 3 6" xfId="767" xr:uid="{4030600C-9A66-46AF-9132-EDCCF03835FB}"/>
    <cellStyle name="Vírgula 2 2 2 2 4" xfId="85" xr:uid="{A05C11B8-953B-45DC-9624-845DD36A41B7}"/>
    <cellStyle name="Vírgula 2 2 2 2 4 2" xfId="149" xr:uid="{C10483EB-1D9C-4392-B454-736966D3BD73}"/>
    <cellStyle name="Vírgula 2 2 2 2 4 2 2" xfId="277" xr:uid="{0318AF5C-06D8-4F40-89E7-D98FC256E74D}"/>
    <cellStyle name="Vírgula 2 2 2 2 4 2 2 2" xfId="533" xr:uid="{D13BA90D-1061-4B2B-9FCD-1473DC73CF48}"/>
    <cellStyle name="Vírgula 2 2 2 2 4 2 2 2 2" xfId="1231" xr:uid="{AF8DBC1B-62BB-4567-B085-36DF5BEFCAB6}"/>
    <cellStyle name="Vírgula 2 2 2 2 4 2 2 3" xfId="975" xr:uid="{22DCBEF3-45BE-4940-AD20-D23F9EC7B89B}"/>
    <cellStyle name="Vírgula 2 2 2 2 4 2 3" xfId="405" xr:uid="{FD905D1E-710A-4231-A31A-C3831D536258}"/>
    <cellStyle name="Vírgula 2 2 2 2 4 2 3 2" xfId="1103" xr:uid="{69E103BE-98D5-4174-946B-58ABAA569BAB}"/>
    <cellStyle name="Vírgula 2 2 2 2 4 2 4" xfId="847" xr:uid="{068108D2-699D-481A-9B9E-C1CC7FD9ACED}"/>
    <cellStyle name="Vírgula 2 2 2 2 4 3" xfId="213" xr:uid="{00EDDC6F-D357-4AB0-9737-76C58A60F745}"/>
    <cellStyle name="Vírgula 2 2 2 2 4 3 2" xfId="469" xr:uid="{A7B8BEC2-8E7A-4235-90A6-953572EB43CB}"/>
    <cellStyle name="Vírgula 2 2 2 2 4 3 2 2" xfId="1167" xr:uid="{54C11AC5-3631-4E17-A8CC-482F32249CCF}"/>
    <cellStyle name="Vírgula 2 2 2 2 4 3 3" xfId="911" xr:uid="{DCEF80C6-C3A5-43C2-871C-1D2C84345C17}"/>
    <cellStyle name="Vírgula 2 2 2 2 4 4" xfId="341" xr:uid="{DB128942-9152-4099-AFF2-C8DA90EC6ABA}"/>
    <cellStyle name="Vírgula 2 2 2 2 4 4 2" xfId="1039" xr:uid="{1DDEE675-5EBA-4B51-A261-C59DA82964D2}"/>
    <cellStyle name="Vírgula 2 2 2 2 4 5" xfId="783" xr:uid="{133AA8CD-81B3-4E12-928D-14A47B85D186}"/>
    <cellStyle name="Vírgula 2 2 2 2 5" xfId="117" xr:uid="{2F9205F2-195D-407D-A01D-04B2F0B712B2}"/>
    <cellStyle name="Vírgula 2 2 2 2 5 2" xfId="245" xr:uid="{E45733B0-4297-41D4-8B17-79C261EAC5DD}"/>
    <cellStyle name="Vírgula 2 2 2 2 5 2 2" xfId="501" xr:uid="{2F45319C-B34E-441D-9116-1E69B1F17DFB}"/>
    <cellStyle name="Vírgula 2 2 2 2 5 2 2 2" xfId="1199" xr:uid="{019B738B-300D-43ED-842F-42FF534BCA98}"/>
    <cellStyle name="Vírgula 2 2 2 2 5 2 3" xfId="943" xr:uid="{590BC013-D38D-4D30-B64E-CACEC79D028E}"/>
    <cellStyle name="Vírgula 2 2 2 2 5 3" xfId="373" xr:uid="{B4C5DCE7-8146-4F62-80A6-B25AF223BCA3}"/>
    <cellStyle name="Vírgula 2 2 2 2 5 3 2" xfId="1071" xr:uid="{B634423A-2AAC-4ABA-9D80-DF6BBBE714F8}"/>
    <cellStyle name="Vírgula 2 2 2 2 5 4" xfId="815" xr:uid="{13297664-69B9-402F-BB6F-BDD17ECE1DC3}"/>
    <cellStyle name="Vírgula 2 2 2 2 6" xfId="181" xr:uid="{FCD69D04-3AF2-401E-B688-6DE13C8FE80A}"/>
    <cellStyle name="Vírgula 2 2 2 2 6 2" xfId="437" xr:uid="{63180CB8-DE9C-4D00-BE82-E07D15A0592B}"/>
    <cellStyle name="Vírgula 2 2 2 2 6 2 2" xfId="1135" xr:uid="{BCE736B7-9C6D-48A0-A74F-FC58DAFCDDAE}"/>
    <cellStyle name="Vírgula 2 2 2 2 6 3" xfId="879" xr:uid="{5A7A0A9C-9274-42C1-A901-BA8C1A326F64}"/>
    <cellStyle name="Vírgula 2 2 2 2 7" xfId="309" xr:uid="{115D817A-8049-4C08-BFDD-3F239D38D7E4}"/>
    <cellStyle name="Vírgula 2 2 2 2 7 2" xfId="1007" xr:uid="{ED36D6AF-2F33-43AC-A49A-485FBDC8E1D1}"/>
    <cellStyle name="Vírgula 2 2 2 2 8" xfId="690" xr:uid="{CD69322A-A0F2-4024-8E17-CFE06AB2F6BC}"/>
    <cellStyle name="Vírgula 2 2 2 2 8 2" xfId="1298" xr:uid="{0C6FB672-ACAC-4880-BC9A-E0E16DBA58CC}"/>
    <cellStyle name="Vírgula 2 2 2 2 9" xfId="726" xr:uid="{320978B7-4856-4DFD-A746-9C80DA124958}"/>
    <cellStyle name="Vírgula 2 2 2 2 9 2" xfId="1329" xr:uid="{D75CEC6A-22D3-4C4C-AC2D-E676D29CA386}"/>
    <cellStyle name="Vírgula 2 2 2 3" xfId="57" xr:uid="{00000000-0005-0000-0000-000033000000}"/>
    <cellStyle name="Vírgula 2 2 2 3 2" xfId="73" xr:uid="{95A27674-C25E-4359-9AA4-17464D1D176A}"/>
    <cellStyle name="Vírgula 2 2 2 3 2 2" xfId="105" xr:uid="{E5551633-E4FC-4D24-8BC0-64959722198D}"/>
    <cellStyle name="Vírgula 2 2 2 3 2 2 2" xfId="169" xr:uid="{F5A2DCF3-19FD-468A-B20A-4D231A95EB4A}"/>
    <cellStyle name="Vírgula 2 2 2 3 2 2 2 2" xfId="297" xr:uid="{968E35DF-1EFD-4E6A-9C4E-0C35D5B94074}"/>
    <cellStyle name="Vírgula 2 2 2 3 2 2 2 2 2" xfId="553" xr:uid="{842CE2FB-982D-42F0-937B-D56FFBAD2E6A}"/>
    <cellStyle name="Vírgula 2 2 2 3 2 2 2 2 2 2" xfId="1251" xr:uid="{A9FCBCED-F6BD-487D-885B-D8BA1C327E5E}"/>
    <cellStyle name="Vírgula 2 2 2 3 2 2 2 2 3" xfId="995" xr:uid="{D90F4C97-4F2E-41CA-AF62-A5DEDE26182B}"/>
    <cellStyle name="Vírgula 2 2 2 3 2 2 2 3" xfId="425" xr:uid="{56754EC4-3B2B-40D9-A23D-113308889286}"/>
    <cellStyle name="Vírgula 2 2 2 3 2 2 2 3 2" xfId="1123" xr:uid="{54803F06-2C55-48BF-A20A-C0F57886433B}"/>
    <cellStyle name="Vírgula 2 2 2 3 2 2 2 4" xfId="867" xr:uid="{60680C77-E4B9-4698-9633-447FDDE993AD}"/>
    <cellStyle name="Vírgula 2 2 2 3 2 2 3" xfId="233" xr:uid="{4C33A2CA-7512-45DA-B44C-7ABD1F65F622}"/>
    <cellStyle name="Vírgula 2 2 2 3 2 2 3 2" xfId="489" xr:uid="{C086AC05-F030-4CB1-B82D-888F075A5FD4}"/>
    <cellStyle name="Vírgula 2 2 2 3 2 2 3 2 2" xfId="1187" xr:uid="{C8A1E5E3-09AB-4210-BFB8-ED01B1CC7FF8}"/>
    <cellStyle name="Vírgula 2 2 2 3 2 2 3 3" xfId="931" xr:uid="{888604EC-C278-4188-9BED-E0A117DB077F}"/>
    <cellStyle name="Vírgula 2 2 2 3 2 2 4" xfId="361" xr:uid="{51642828-D850-4BA7-AFA8-F1469BA92F1B}"/>
    <cellStyle name="Vírgula 2 2 2 3 2 2 4 2" xfId="1059" xr:uid="{48B79B01-867C-4DBC-B887-26CA619DE063}"/>
    <cellStyle name="Vírgula 2 2 2 3 2 2 5" xfId="803" xr:uid="{CEA9D2C4-CBAE-40ED-936F-6FB2C80BB7DB}"/>
    <cellStyle name="Vírgula 2 2 2 3 2 3" xfId="137" xr:uid="{83440BE1-902D-44E6-A41C-D4F1ED4789F3}"/>
    <cellStyle name="Vírgula 2 2 2 3 2 3 2" xfId="265" xr:uid="{2757968A-F3CE-4263-8C67-4EF57E4453D9}"/>
    <cellStyle name="Vírgula 2 2 2 3 2 3 2 2" xfId="521" xr:uid="{F99ABAF5-1078-4D7E-A200-99CB2C2DC315}"/>
    <cellStyle name="Vírgula 2 2 2 3 2 3 2 2 2" xfId="1219" xr:uid="{F94F3942-D5CC-4E7F-91DF-473740030EC6}"/>
    <cellStyle name="Vírgula 2 2 2 3 2 3 2 3" xfId="963" xr:uid="{99FBF590-4CF9-4F8D-861F-4FADAC630B93}"/>
    <cellStyle name="Vírgula 2 2 2 3 2 3 3" xfId="393" xr:uid="{84DFA8AE-E65B-48FE-BD9B-751EF534ACD8}"/>
    <cellStyle name="Vírgula 2 2 2 3 2 3 3 2" xfId="1091" xr:uid="{620EA2FF-9BE7-4D9B-835E-80EB0DBD3C0D}"/>
    <cellStyle name="Vírgula 2 2 2 3 2 3 4" xfId="835" xr:uid="{5A8F1621-CD67-4D47-A605-8FDEC0B297AB}"/>
    <cellStyle name="Vírgula 2 2 2 3 2 4" xfId="201" xr:uid="{F75B4063-96B9-48F8-BBF0-A6D00B5DC202}"/>
    <cellStyle name="Vírgula 2 2 2 3 2 4 2" xfId="457" xr:uid="{2A588013-BEB1-48CB-96B0-D343824CD5BC}"/>
    <cellStyle name="Vírgula 2 2 2 3 2 4 2 2" xfId="1155" xr:uid="{257CA227-0837-4810-A1F5-289864B93A00}"/>
    <cellStyle name="Vírgula 2 2 2 3 2 4 3" xfId="899" xr:uid="{12EDE7A6-FC98-42A9-AF84-E5834B7AA7CA}"/>
    <cellStyle name="Vírgula 2 2 2 3 2 5" xfId="329" xr:uid="{C92007F6-4E3A-4607-8953-C6078EC6166B}"/>
    <cellStyle name="Vírgula 2 2 2 3 2 5 2" xfId="1027" xr:uid="{CECF2A63-FBDF-434A-AFBC-1C941B3FF6ED}"/>
    <cellStyle name="Vírgula 2 2 2 3 2 6" xfId="771" xr:uid="{EF4DEB1C-A971-4D0C-BD08-946157769B85}"/>
    <cellStyle name="Vírgula 2 2 2 3 3" xfId="89" xr:uid="{10DE4506-E0BF-402E-B538-9258A00866B0}"/>
    <cellStyle name="Vírgula 2 2 2 3 3 2" xfId="153" xr:uid="{33ACFD94-456F-4D8C-B741-623589107655}"/>
    <cellStyle name="Vírgula 2 2 2 3 3 2 2" xfId="281" xr:uid="{69520DB1-2F17-4183-97EF-83BCAB06E1BC}"/>
    <cellStyle name="Vírgula 2 2 2 3 3 2 2 2" xfId="537" xr:uid="{3EB43EA1-6A47-4F29-8D62-B77526A0E281}"/>
    <cellStyle name="Vírgula 2 2 2 3 3 2 2 2 2" xfId="1235" xr:uid="{7AB9313B-ED04-4FAB-9657-EC3C9465B3CC}"/>
    <cellStyle name="Vírgula 2 2 2 3 3 2 2 3" xfId="979" xr:uid="{8C091E56-7326-45BA-A822-6C2DC567BE7F}"/>
    <cellStyle name="Vírgula 2 2 2 3 3 2 3" xfId="409" xr:uid="{C321B417-2CE7-400B-A889-2F6FF6D6C2A5}"/>
    <cellStyle name="Vírgula 2 2 2 3 3 2 3 2" xfId="1107" xr:uid="{90E7F483-B464-4C9A-A41A-60E9E4E630AF}"/>
    <cellStyle name="Vírgula 2 2 2 3 3 2 4" xfId="851" xr:uid="{6D671D00-FB3D-47EE-96BE-D7632E2C7709}"/>
    <cellStyle name="Vírgula 2 2 2 3 3 3" xfId="217" xr:uid="{1FB991AB-8DB2-4CB6-AF04-EB8DC8C3C523}"/>
    <cellStyle name="Vírgula 2 2 2 3 3 3 2" xfId="473" xr:uid="{9EE8821C-078D-49A7-9D26-DE59ED32F82B}"/>
    <cellStyle name="Vírgula 2 2 2 3 3 3 2 2" xfId="1171" xr:uid="{DB784A46-AE02-41D0-8E30-9F5CAEF98E80}"/>
    <cellStyle name="Vírgula 2 2 2 3 3 3 3" xfId="915" xr:uid="{C6D58414-B4F7-4A95-BCC0-447DEEBF28F5}"/>
    <cellStyle name="Vírgula 2 2 2 3 3 4" xfId="345" xr:uid="{83E1BEA4-7790-42DD-85DB-3B943525E4B6}"/>
    <cellStyle name="Vírgula 2 2 2 3 3 4 2" xfId="1043" xr:uid="{89408903-A5D4-4AD4-8288-41DC2E4A18CB}"/>
    <cellStyle name="Vírgula 2 2 2 3 3 5" xfId="787" xr:uid="{61B9B91E-368B-4024-BB18-0E5B1B325D9E}"/>
    <cellStyle name="Vírgula 2 2 2 3 4" xfId="121" xr:uid="{18C9E01D-9978-4017-9266-497745952881}"/>
    <cellStyle name="Vírgula 2 2 2 3 4 2" xfId="249" xr:uid="{0A262134-E2D7-4457-852B-61EF8F40A947}"/>
    <cellStyle name="Vírgula 2 2 2 3 4 2 2" xfId="505" xr:uid="{E0A35BA8-DE1B-40FB-814E-1586D24B23A0}"/>
    <cellStyle name="Vírgula 2 2 2 3 4 2 2 2" xfId="1203" xr:uid="{592DC6B0-81F1-4B49-BB48-E81669C31F69}"/>
    <cellStyle name="Vírgula 2 2 2 3 4 2 3" xfId="947" xr:uid="{018CBE24-91F6-4235-849C-80EF95F03F9A}"/>
    <cellStyle name="Vírgula 2 2 2 3 4 3" xfId="377" xr:uid="{D96F143F-512C-4ED1-ACC3-655EA5D62B24}"/>
    <cellStyle name="Vírgula 2 2 2 3 4 3 2" xfId="1075" xr:uid="{6000AB1E-474C-47B6-A0A2-952CC761298C}"/>
    <cellStyle name="Vírgula 2 2 2 3 4 4" xfId="819" xr:uid="{2CC67D25-063D-4DC2-97A8-72AE2EA2E9ED}"/>
    <cellStyle name="Vírgula 2 2 2 3 5" xfId="185" xr:uid="{A6C32203-64EE-42CE-B9B3-F2DCE94791B7}"/>
    <cellStyle name="Vírgula 2 2 2 3 5 2" xfId="441" xr:uid="{7CDD8365-B0B6-46F6-8ED8-051DC71495D1}"/>
    <cellStyle name="Vírgula 2 2 2 3 5 2 2" xfId="1139" xr:uid="{C0C1C547-B365-4AC5-A8AA-BE9FF89501C8}"/>
    <cellStyle name="Vírgula 2 2 2 3 5 3" xfId="883" xr:uid="{DDFC124B-8738-4987-9980-C757BB4E8290}"/>
    <cellStyle name="Vírgula 2 2 2 3 6" xfId="313" xr:uid="{A112FD3E-2D37-44D0-B941-5D2DCB0A578D}"/>
    <cellStyle name="Vírgula 2 2 2 3 6 2" xfId="1011" xr:uid="{5AB944F3-2292-4B67-B0D8-F9C72C49EF06}"/>
    <cellStyle name="Vírgula 2 2 2 3 7" xfId="755" xr:uid="{7EDB8A81-AC74-48F2-9F06-7F0AB1B0FD59}"/>
    <cellStyle name="Vírgula 2 2 2 4" xfId="65" xr:uid="{9C959D7C-D029-4A5A-B0A2-824C853B3319}"/>
    <cellStyle name="Vírgula 2 2 2 4 2" xfId="97" xr:uid="{119323D7-B0E9-41C1-881B-6CD5909924C6}"/>
    <cellStyle name="Vírgula 2 2 2 4 2 2" xfId="161" xr:uid="{D6B4DE81-CD71-4FB0-A149-2CA9736F3E20}"/>
    <cellStyle name="Vírgula 2 2 2 4 2 2 2" xfId="289" xr:uid="{ACD22330-584E-4A90-9C9A-B46A55219F8E}"/>
    <cellStyle name="Vírgula 2 2 2 4 2 2 2 2" xfId="545" xr:uid="{7F94783E-94A6-45AC-B6D3-D1FF6C9F4009}"/>
    <cellStyle name="Vírgula 2 2 2 4 2 2 2 2 2" xfId="1243" xr:uid="{732806D2-F2D5-4C61-A39A-5DF3DD198083}"/>
    <cellStyle name="Vírgula 2 2 2 4 2 2 2 3" xfId="987" xr:uid="{0B4EF2F5-05BB-475E-9D31-6F42BFB1AEC4}"/>
    <cellStyle name="Vírgula 2 2 2 4 2 2 3" xfId="417" xr:uid="{27060980-F389-4311-A058-75B734B92ED5}"/>
    <cellStyle name="Vírgula 2 2 2 4 2 2 3 2" xfId="1115" xr:uid="{279552A2-DA1D-4B92-BA6D-3DEBA203914C}"/>
    <cellStyle name="Vírgula 2 2 2 4 2 2 4" xfId="859" xr:uid="{89756E4C-7CFF-4716-BE08-44D3D526650F}"/>
    <cellStyle name="Vírgula 2 2 2 4 2 3" xfId="225" xr:uid="{C9978AFE-3402-4C9E-92A7-FF215F072530}"/>
    <cellStyle name="Vírgula 2 2 2 4 2 3 2" xfId="481" xr:uid="{402C4ACE-620F-4607-BB29-226321DC21A9}"/>
    <cellStyle name="Vírgula 2 2 2 4 2 3 2 2" xfId="1179" xr:uid="{8E44DDB2-49CA-4256-9C9D-5D0968BDB819}"/>
    <cellStyle name="Vírgula 2 2 2 4 2 3 3" xfId="923" xr:uid="{FEDCEE21-CB67-4B1D-83A6-012A917B1704}"/>
    <cellStyle name="Vírgula 2 2 2 4 2 4" xfId="353" xr:uid="{CC3C3650-031B-43F0-A54C-06BE3137932F}"/>
    <cellStyle name="Vírgula 2 2 2 4 2 4 2" xfId="1051" xr:uid="{6D9EF2D0-8F34-4E16-AB2B-2E0520600365}"/>
    <cellStyle name="Vírgula 2 2 2 4 2 5" xfId="795" xr:uid="{82A4A99B-788C-4A0A-B36C-65A809BEBBEF}"/>
    <cellStyle name="Vírgula 2 2 2 4 3" xfId="129" xr:uid="{E50FA874-87AE-48D6-908C-436B94DE2345}"/>
    <cellStyle name="Vírgula 2 2 2 4 3 2" xfId="257" xr:uid="{82123022-2236-4E3C-9CD9-19949D315F2C}"/>
    <cellStyle name="Vírgula 2 2 2 4 3 2 2" xfId="513" xr:uid="{6440C50E-6CCC-4895-9BE0-39F588B934A9}"/>
    <cellStyle name="Vírgula 2 2 2 4 3 2 2 2" xfId="1211" xr:uid="{DB8AB461-3092-45C4-BB2F-C7D63A19FE82}"/>
    <cellStyle name="Vírgula 2 2 2 4 3 2 3" xfId="955" xr:uid="{37BEFCCC-9CCF-4DB6-917E-645B7104BD51}"/>
    <cellStyle name="Vírgula 2 2 2 4 3 3" xfId="385" xr:uid="{115A0BCB-25D7-4D55-8DCD-6B25E254FC05}"/>
    <cellStyle name="Vírgula 2 2 2 4 3 3 2" xfId="1083" xr:uid="{8D8A25E8-8CF7-4226-BDBA-A2AFD0327C6A}"/>
    <cellStyle name="Vírgula 2 2 2 4 3 4" xfId="827" xr:uid="{41BF383C-BEE3-4C6E-B354-959D3B715452}"/>
    <cellStyle name="Vírgula 2 2 2 4 4" xfId="193" xr:uid="{0E942A77-FF95-44DF-B62C-43684F80D40E}"/>
    <cellStyle name="Vírgula 2 2 2 4 4 2" xfId="449" xr:uid="{A8AB69D7-6821-48B9-84E6-876EA1769298}"/>
    <cellStyle name="Vírgula 2 2 2 4 4 2 2" xfId="1147" xr:uid="{B35AD4BA-E11F-44B4-A085-1F4A4A9E3FE9}"/>
    <cellStyle name="Vírgula 2 2 2 4 4 3" xfId="891" xr:uid="{CDFD8082-E0D5-407A-A834-9C82AD86973D}"/>
    <cellStyle name="Vírgula 2 2 2 4 5" xfId="321" xr:uid="{948D87E2-8C8C-42BE-A31F-A6C9B55F6EB4}"/>
    <cellStyle name="Vírgula 2 2 2 4 5 2" xfId="1019" xr:uid="{6C37B8C3-76AD-4956-9FAE-4B19FA1AD923}"/>
    <cellStyle name="Vírgula 2 2 2 4 6" xfId="763" xr:uid="{77B27982-55A8-466D-8115-57F75847E8D8}"/>
    <cellStyle name="Vírgula 2 2 2 5" xfId="81" xr:uid="{5F174489-1946-4B07-83E5-CB66123D0EB2}"/>
    <cellStyle name="Vírgula 2 2 2 5 2" xfId="145" xr:uid="{C0D91252-7D32-4B70-B919-D4938A976EF5}"/>
    <cellStyle name="Vírgula 2 2 2 5 2 2" xfId="273" xr:uid="{D8E98B1E-A2E5-4BA9-A0E2-6D9FCC9AFEB7}"/>
    <cellStyle name="Vírgula 2 2 2 5 2 2 2" xfId="529" xr:uid="{63BFE857-5247-4D65-B875-B355625A5F49}"/>
    <cellStyle name="Vírgula 2 2 2 5 2 2 2 2" xfId="1227" xr:uid="{A8F3C8F6-FE56-481F-8EE4-1670528196E4}"/>
    <cellStyle name="Vírgula 2 2 2 5 2 2 3" xfId="971" xr:uid="{168CDFC3-7F4A-4587-B2B6-C2AF8E549C4D}"/>
    <cellStyle name="Vírgula 2 2 2 5 2 3" xfId="401" xr:uid="{05E9037C-3210-47D8-AB99-F918EBE34954}"/>
    <cellStyle name="Vírgula 2 2 2 5 2 3 2" xfId="1099" xr:uid="{942047D2-B7D7-4665-8E21-C6464CB6BAE5}"/>
    <cellStyle name="Vírgula 2 2 2 5 2 4" xfId="843" xr:uid="{83566C24-7572-47A4-A695-E72CF4752047}"/>
    <cellStyle name="Vírgula 2 2 2 5 3" xfId="209" xr:uid="{E87C1465-6BD6-4B17-9861-21B73DCE496F}"/>
    <cellStyle name="Vírgula 2 2 2 5 3 2" xfId="465" xr:uid="{16E8DC77-8142-46B2-9297-A5A6B336E579}"/>
    <cellStyle name="Vírgula 2 2 2 5 3 2 2" xfId="1163" xr:uid="{D79E05BF-92E0-48A7-893E-900E8CF08EB2}"/>
    <cellStyle name="Vírgula 2 2 2 5 3 3" xfId="907" xr:uid="{AE7B965A-9831-4AA3-BF56-446D83677C53}"/>
    <cellStyle name="Vírgula 2 2 2 5 4" xfId="337" xr:uid="{914D28A2-1865-4A1E-9396-A1EBCB3ABFD6}"/>
    <cellStyle name="Vírgula 2 2 2 5 4 2" xfId="1035" xr:uid="{CD17F5E5-FF9F-49B3-AFCE-67328C116740}"/>
    <cellStyle name="Vírgula 2 2 2 5 5" xfId="779" xr:uid="{F8F99E77-1312-4F01-B84B-5D7B7EF0CE6B}"/>
    <cellStyle name="Vírgula 2 2 2 6" xfId="113" xr:uid="{6CCEA164-2EC1-42D1-A46B-EA54CAA2D3A6}"/>
    <cellStyle name="Vírgula 2 2 2 6 2" xfId="241" xr:uid="{91B74BD4-67BE-45AE-99BB-DA666C0191FB}"/>
    <cellStyle name="Vírgula 2 2 2 6 2 2" xfId="497" xr:uid="{C2BBED77-51EA-401F-B3F3-A9DED420A306}"/>
    <cellStyle name="Vírgula 2 2 2 6 2 2 2" xfId="1195" xr:uid="{80964ADC-E63D-4BA6-81E5-64D9D7E3CF2E}"/>
    <cellStyle name="Vírgula 2 2 2 6 2 3" xfId="939" xr:uid="{DCA6A24F-B3A9-46F7-BA5E-EAEBA44C6C6C}"/>
    <cellStyle name="Vírgula 2 2 2 6 3" xfId="369" xr:uid="{5E56C599-0225-4990-B5E7-AE124AE592CE}"/>
    <cellStyle name="Vírgula 2 2 2 6 3 2" xfId="1067" xr:uid="{E7EAE818-65F6-41A0-8A10-C6B826BBD02F}"/>
    <cellStyle name="Vírgula 2 2 2 6 4" xfId="811" xr:uid="{01095FFB-15D0-4054-A0D8-C4A0D8C3DB8D}"/>
    <cellStyle name="Vírgula 2 2 2 7" xfId="177" xr:uid="{25C8818B-7542-438A-8277-1907B4A6C072}"/>
    <cellStyle name="Vírgula 2 2 2 7 2" xfId="433" xr:uid="{05B58F81-3B36-47FB-9E56-95CB33826905}"/>
    <cellStyle name="Vírgula 2 2 2 7 2 2" xfId="1131" xr:uid="{D6E7FAC7-BFE9-4552-9487-AAF696049A1C}"/>
    <cellStyle name="Vírgula 2 2 2 7 3" xfId="875" xr:uid="{2EF86D10-11E7-412B-AB12-ABD54808E9FF}"/>
    <cellStyle name="Vírgula 2 2 2 8" xfId="305" xr:uid="{2B29A085-F910-4C3E-B436-07A0C40262A3}"/>
    <cellStyle name="Vírgula 2 2 2 8 2" xfId="1003" xr:uid="{B77CC9A2-C3C4-4EFB-A5CE-47EF61053876}"/>
    <cellStyle name="Vírgula 2 2 2 9" xfId="622" xr:uid="{5BFDD3EB-AFD2-440F-8705-49654477403C}"/>
    <cellStyle name="Vírgula 2 2 2 9 2" xfId="1274" xr:uid="{AFE0A559-54EC-44EC-AD2B-43718C571BBD}"/>
    <cellStyle name="Vírgula 2 2 3" xfId="51" xr:uid="{00000000-0005-0000-0000-000034000000}"/>
    <cellStyle name="Vírgula 2 2 3 10" xfId="749" xr:uid="{86D52A75-C099-4487-B167-6D1F58AB069F}"/>
    <cellStyle name="Vírgula 2 2 3 2" xfId="59" xr:uid="{00000000-0005-0000-0000-000035000000}"/>
    <cellStyle name="Vírgula 2 2 3 2 2" xfId="75" xr:uid="{D2C99C17-2F17-4DF9-A51D-A00808412638}"/>
    <cellStyle name="Vírgula 2 2 3 2 2 2" xfId="107" xr:uid="{7981B93F-C1FA-42C2-952E-60634B8A6623}"/>
    <cellStyle name="Vírgula 2 2 3 2 2 2 2" xfId="171" xr:uid="{3117087B-2496-4851-A27B-59968C0A3F47}"/>
    <cellStyle name="Vírgula 2 2 3 2 2 2 2 2" xfId="299" xr:uid="{EE93FEE8-DC12-4451-BC08-E3057FF3B64A}"/>
    <cellStyle name="Vírgula 2 2 3 2 2 2 2 2 2" xfId="555" xr:uid="{093B4CC1-DBEF-4D03-A9DD-2D16B056249A}"/>
    <cellStyle name="Vírgula 2 2 3 2 2 2 2 2 2 2" xfId="1253" xr:uid="{86264AB9-8B8F-4C98-B4E9-503371A12E7A}"/>
    <cellStyle name="Vírgula 2 2 3 2 2 2 2 2 3" xfId="997" xr:uid="{44137EEB-E0DE-4BCE-81D5-FD09CC11AFE2}"/>
    <cellStyle name="Vírgula 2 2 3 2 2 2 2 3" xfId="427" xr:uid="{5F3976D2-FE31-44A4-BCC4-7DAE97026FA6}"/>
    <cellStyle name="Vírgula 2 2 3 2 2 2 2 3 2" xfId="1125" xr:uid="{DA232F48-9BC3-4766-98EA-C292BB0432B3}"/>
    <cellStyle name="Vírgula 2 2 3 2 2 2 2 4" xfId="869" xr:uid="{C817C555-F008-4C87-A06A-D3FEBDBE7162}"/>
    <cellStyle name="Vírgula 2 2 3 2 2 2 3" xfId="235" xr:uid="{EAE42AB4-79E6-4FE1-AE40-4570F1BC78DB}"/>
    <cellStyle name="Vírgula 2 2 3 2 2 2 3 2" xfId="491" xr:uid="{DBE1C487-6B13-4A1C-A6A1-202F20994E75}"/>
    <cellStyle name="Vírgula 2 2 3 2 2 2 3 2 2" xfId="1189" xr:uid="{7961B748-D68C-4699-9905-059690B64C8A}"/>
    <cellStyle name="Vírgula 2 2 3 2 2 2 3 3" xfId="933" xr:uid="{B098252A-4FD2-4A31-93B8-E16F1274B325}"/>
    <cellStyle name="Vírgula 2 2 3 2 2 2 4" xfId="363" xr:uid="{75C85EFC-E894-4538-87A9-90C0A9DE810F}"/>
    <cellStyle name="Vírgula 2 2 3 2 2 2 4 2" xfId="1061" xr:uid="{FD96FBAB-AFF4-4850-AAA6-F3A40E474167}"/>
    <cellStyle name="Vírgula 2 2 3 2 2 2 5" xfId="805" xr:uid="{C0CE7320-C565-4093-9867-C698A7281552}"/>
    <cellStyle name="Vírgula 2 2 3 2 2 3" xfId="139" xr:uid="{EE514D4D-2815-4079-8DBA-AEE746F501CF}"/>
    <cellStyle name="Vírgula 2 2 3 2 2 3 2" xfId="267" xr:uid="{36BEFF55-A682-4A74-9C4C-D352FC5EECBD}"/>
    <cellStyle name="Vírgula 2 2 3 2 2 3 2 2" xfId="523" xr:uid="{132D8760-E87D-400E-8BC2-AB69C19B97BF}"/>
    <cellStyle name="Vírgula 2 2 3 2 2 3 2 2 2" xfId="1221" xr:uid="{7671F4F5-EAD6-4C41-A4E5-2AB157A6525F}"/>
    <cellStyle name="Vírgula 2 2 3 2 2 3 2 3" xfId="965" xr:uid="{649EEFEE-8D94-4FF3-8906-B2FE9ABC2437}"/>
    <cellStyle name="Vírgula 2 2 3 2 2 3 3" xfId="395" xr:uid="{DBFB8307-69C1-4850-A5E1-CC16431FC4A4}"/>
    <cellStyle name="Vírgula 2 2 3 2 2 3 3 2" xfId="1093" xr:uid="{0DA5D587-0A63-4920-BF37-4E4105BE304B}"/>
    <cellStyle name="Vírgula 2 2 3 2 2 3 4" xfId="837" xr:uid="{DCD7BAC9-FF3E-4095-9192-37E5E55B6CA3}"/>
    <cellStyle name="Vírgula 2 2 3 2 2 4" xfId="203" xr:uid="{6EE01ABD-BCA5-47DE-A650-FA35164A524E}"/>
    <cellStyle name="Vírgula 2 2 3 2 2 4 2" xfId="459" xr:uid="{3F22E865-D72D-4853-AF2A-976A1E00EB75}"/>
    <cellStyle name="Vírgula 2 2 3 2 2 4 2 2" xfId="1157" xr:uid="{9D8E5164-F1EB-49C6-AF23-F29E5EA12CBF}"/>
    <cellStyle name="Vírgula 2 2 3 2 2 4 3" xfId="901" xr:uid="{8463DF1C-2A54-4F56-9037-6588E6ECDB9F}"/>
    <cellStyle name="Vírgula 2 2 3 2 2 5" xfId="331" xr:uid="{6FAC74F0-5A9A-4B2F-8C55-DBCE56D4BEC1}"/>
    <cellStyle name="Vírgula 2 2 3 2 2 5 2" xfId="1029" xr:uid="{1A31998D-F52C-4336-9F87-E6087A1356D5}"/>
    <cellStyle name="Vírgula 2 2 3 2 2 6" xfId="773" xr:uid="{36E02862-B7C3-4D63-8D78-CB7D06F990E7}"/>
    <cellStyle name="Vírgula 2 2 3 2 3" xfId="91" xr:uid="{649BEB68-87F1-49B6-B7C4-DCEEFAAAA9ED}"/>
    <cellStyle name="Vírgula 2 2 3 2 3 2" xfId="155" xr:uid="{E38D3933-FD86-4B5B-AFA8-B379AE0562D4}"/>
    <cellStyle name="Vírgula 2 2 3 2 3 2 2" xfId="283" xr:uid="{89698D94-4CBF-4D6D-9A35-FAF55F612DEA}"/>
    <cellStyle name="Vírgula 2 2 3 2 3 2 2 2" xfId="539" xr:uid="{7B5BA46F-55C5-4A03-8E64-33E69B6EF20C}"/>
    <cellStyle name="Vírgula 2 2 3 2 3 2 2 2 2" xfId="1237" xr:uid="{53AA1D70-CAC7-4B9A-BA19-B9F59E11C2F1}"/>
    <cellStyle name="Vírgula 2 2 3 2 3 2 2 3" xfId="981" xr:uid="{D3CEB8DB-C484-489E-B2F7-2F3067140275}"/>
    <cellStyle name="Vírgula 2 2 3 2 3 2 3" xfId="411" xr:uid="{F8120140-9B43-429C-BC85-7A5F9BAEC4FB}"/>
    <cellStyle name="Vírgula 2 2 3 2 3 2 3 2" xfId="1109" xr:uid="{F02FBAA5-E4B6-441C-BB9D-D4609A16D6C0}"/>
    <cellStyle name="Vírgula 2 2 3 2 3 2 4" xfId="853" xr:uid="{FA318F1B-F593-40C4-B296-8711A3C93D65}"/>
    <cellStyle name="Vírgula 2 2 3 2 3 3" xfId="219" xr:uid="{77AFD353-2F3B-4DE1-B1EC-4FAAE54D388D}"/>
    <cellStyle name="Vírgula 2 2 3 2 3 3 2" xfId="475" xr:uid="{1687392D-7FE1-45D2-897B-4E56B0C681A5}"/>
    <cellStyle name="Vírgula 2 2 3 2 3 3 2 2" xfId="1173" xr:uid="{A5945D66-AD5C-4ACA-80D0-68F49FF4D6EB}"/>
    <cellStyle name="Vírgula 2 2 3 2 3 3 3" xfId="917" xr:uid="{2F8A508D-192C-46E7-885E-245279B99AFF}"/>
    <cellStyle name="Vírgula 2 2 3 2 3 4" xfId="347" xr:uid="{9065FFC6-8038-4847-A01A-21F9D6D0C425}"/>
    <cellStyle name="Vírgula 2 2 3 2 3 4 2" xfId="1045" xr:uid="{0106C9A3-4EAC-436C-A21A-9A171EE414C6}"/>
    <cellStyle name="Vírgula 2 2 3 2 3 5" xfId="789" xr:uid="{37D0A449-864F-4149-9A4C-F7E4F0637A69}"/>
    <cellStyle name="Vírgula 2 2 3 2 4" xfId="123" xr:uid="{95E4A22B-8919-47C0-80CA-1F459C4D1B08}"/>
    <cellStyle name="Vírgula 2 2 3 2 4 2" xfId="251" xr:uid="{217BC4B2-9719-422B-9294-14837A47CD6F}"/>
    <cellStyle name="Vírgula 2 2 3 2 4 2 2" xfId="507" xr:uid="{7F3A6CDA-3DEE-4BD1-BFF1-FFB0D48A815F}"/>
    <cellStyle name="Vírgula 2 2 3 2 4 2 2 2" xfId="1205" xr:uid="{E975149E-05F4-47BB-AABC-4F17CB23D34F}"/>
    <cellStyle name="Vírgula 2 2 3 2 4 2 3" xfId="949" xr:uid="{326B04E5-DFBD-41C5-AB8D-8D876E1A2814}"/>
    <cellStyle name="Vírgula 2 2 3 2 4 3" xfId="379" xr:uid="{7B27A034-206F-4FBB-88A4-A59FC7377703}"/>
    <cellStyle name="Vírgula 2 2 3 2 4 3 2" xfId="1077" xr:uid="{8FEC975E-E340-4B9B-8356-237D5F965458}"/>
    <cellStyle name="Vírgula 2 2 3 2 4 4" xfId="821" xr:uid="{69C2BE19-2D96-4300-9393-58CEE73FA82F}"/>
    <cellStyle name="Vírgula 2 2 3 2 5" xfId="187" xr:uid="{C2428427-62ED-4DCC-9ECA-32CAFC3AC59B}"/>
    <cellStyle name="Vírgula 2 2 3 2 5 2" xfId="443" xr:uid="{13F789AF-7077-4E45-B8E6-046E39E46F19}"/>
    <cellStyle name="Vírgula 2 2 3 2 5 2 2" xfId="1141" xr:uid="{61304171-13C1-435F-91F8-22B756450B60}"/>
    <cellStyle name="Vírgula 2 2 3 2 5 3" xfId="885" xr:uid="{E73C956B-08E2-4801-8A23-E04E63DEB128}"/>
    <cellStyle name="Vírgula 2 2 3 2 6" xfId="315" xr:uid="{BEF0BB64-0FA1-4B80-A087-9A39B709F1D3}"/>
    <cellStyle name="Vírgula 2 2 3 2 6 2" xfId="1013" xr:uid="{F1280789-5C65-4518-A04A-9D08F3BA108F}"/>
    <cellStyle name="Vírgula 2 2 3 2 7" xfId="757" xr:uid="{D3653987-325B-4F11-B19C-CB112C34BBA2}"/>
    <cellStyle name="Vírgula 2 2 3 3" xfId="67" xr:uid="{216B43D8-5CB7-43A9-994F-D217BF727295}"/>
    <cellStyle name="Vírgula 2 2 3 3 2" xfId="99" xr:uid="{D7E6068A-EB49-4F27-902D-A920FF70812D}"/>
    <cellStyle name="Vírgula 2 2 3 3 2 2" xfId="163" xr:uid="{63CFD1A6-86E3-44BA-807B-6769BDAF6856}"/>
    <cellStyle name="Vírgula 2 2 3 3 2 2 2" xfId="291" xr:uid="{DA9E8DC4-C013-47AE-A736-85F136F479AD}"/>
    <cellStyle name="Vírgula 2 2 3 3 2 2 2 2" xfId="547" xr:uid="{7DF53E16-DB12-4102-829A-CE8DD58014DE}"/>
    <cellStyle name="Vírgula 2 2 3 3 2 2 2 2 2" xfId="1245" xr:uid="{A81270E7-6225-4647-9359-46D1FC47D919}"/>
    <cellStyle name="Vírgula 2 2 3 3 2 2 2 3" xfId="989" xr:uid="{E90452E3-CBF4-43DF-A337-E04B81EE7AA9}"/>
    <cellStyle name="Vírgula 2 2 3 3 2 2 3" xfId="419" xr:uid="{3E35F214-5ECE-40A8-8F81-B02693B0409A}"/>
    <cellStyle name="Vírgula 2 2 3 3 2 2 3 2" xfId="1117" xr:uid="{C7916C39-B561-4F39-8794-7C9CF9DED298}"/>
    <cellStyle name="Vírgula 2 2 3 3 2 2 4" xfId="861" xr:uid="{4EE056F6-1CBA-4C4A-8487-71929F6C8A55}"/>
    <cellStyle name="Vírgula 2 2 3 3 2 3" xfId="227" xr:uid="{6D101483-37C1-47F0-AE1B-965F36044A11}"/>
    <cellStyle name="Vírgula 2 2 3 3 2 3 2" xfId="483" xr:uid="{7ECD87AB-2542-40F1-99A5-967AA9778922}"/>
    <cellStyle name="Vírgula 2 2 3 3 2 3 2 2" xfId="1181" xr:uid="{3EB3ACDB-DD75-4BDD-86EB-B5F17A9F7546}"/>
    <cellStyle name="Vírgula 2 2 3 3 2 3 3" xfId="925" xr:uid="{F81B6AC1-375B-4EA7-BBBF-D6C148617436}"/>
    <cellStyle name="Vírgula 2 2 3 3 2 4" xfId="355" xr:uid="{E2E41B31-B345-48FB-9C9B-B67D571ABDF0}"/>
    <cellStyle name="Vírgula 2 2 3 3 2 4 2" xfId="1053" xr:uid="{51FC1C2F-B276-4880-895B-B8B458CEAC44}"/>
    <cellStyle name="Vírgula 2 2 3 3 2 5" xfId="797" xr:uid="{8B9530A0-AC98-47AA-BD7E-8340FF4C515B}"/>
    <cellStyle name="Vírgula 2 2 3 3 3" xfId="131" xr:uid="{DDC956EB-96A5-4BAF-AEF8-31E6B7B55AC2}"/>
    <cellStyle name="Vírgula 2 2 3 3 3 2" xfId="259" xr:uid="{26F8F53D-0948-4106-AB22-3E5083C8504C}"/>
    <cellStyle name="Vírgula 2 2 3 3 3 2 2" xfId="515" xr:uid="{34EC3F67-3F45-4570-B3B7-27F4625D3A4F}"/>
    <cellStyle name="Vírgula 2 2 3 3 3 2 2 2" xfId="1213" xr:uid="{A8865FFA-057E-454D-8880-5645D00150FD}"/>
    <cellStyle name="Vírgula 2 2 3 3 3 2 3" xfId="957" xr:uid="{BF8F4B42-B9CF-4AF5-B2F8-D4695FAE8502}"/>
    <cellStyle name="Vírgula 2 2 3 3 3 3" xfId="387" xr:uid="{6C0DE09B-9085-4314-A031-0B73D747D47E}"/>
    <cellStyle name="Vírgula 2 2 3 3 3 3 2" xfId="1085" xr:uid="{5B4F2D42-68B0-4DBE-AADE-6C74BCEE8B67}"/>
    <cellStyle name="Vírgula 2 2 3 3 3 4" xfId="829" xr:uid="{286BDB91-03A0-46B6-AF81-E5BE1B00EA65}"/>
    <cellStyle name="Vírgula 2 2 3 3 4" xfId="195" xr:uid="{DE647923-5313-406F-9368-951FB9055580}"/>
    <cellStyle name="Vírgula 2 2 3 3 4 2" xfId="451" xr:uid="{F1E9FF54-9E7C-4E43-B113-B99FB8C3B480}"/>
    <cellStyle name="Vírgula 2 2 3 3 4 2 2" xfId="1149" xr:uid="{3CFAC01F-B17D-43D5-A3BB-F95CF3E06DAB}"/>
    <cellStyle name="Vírgula 2 2 3 3 4 3" xfId="893" xr:uid="{BE9A1423-B02B-4BFB-A6A4-E09460906833}"/>
    <cellStyle name="Vírgula 2 2 3 3 5" xfId="323" xr:uid="{96BDE2E9-23B4-4090-BEB9-467CEBDC3EA6}"/>
    <cellStyle name="Vírgula 2 2 3 3 5 2" xfId="1021" xr:uid="{BD3B7D6A-D88B-4665-8E19-F457015BA9B6}"/>
    <cellStyle name="Vírgula 2 2 3 3 6" xfId="765" xr:uid="{A19EFAB9-A8E9-48DD-AFEF-43AE3366B235}"/>
    <cellStyle name="Vírgula 2 2 3 4" xfId="83" xr:uid="{92512801-00DA-4F73-970D-E1316115E209}"/>
    <cellStyle name="Vírgula 2 2 3 4 2" xfId="147" xr:uid="{74DA0308-E275-4C30-9317-750F55525DB8}"/>
    <cellStyle name="Vírgula 2 2 3 4 2 2" xfId="275" xr:uid="{506EF38A-B82D-462A-9B36-1875139BFB17}"/>
    <cellStyle name="Vírgula 2 2 3 4 2 2 2" xfId="531" xr:uid="{B9E679A4-CF03-4636-B916-7D4A43B4F812}"/>
    <cellStyle name="Vírgula 2 2 3 4 2 2 2 2" xfId="1229" xr:uid="{70740DFC-97C7-4B5F-8454-88283EA0C69A}"/>
    <cellStyle name="Vírgula 2 2 3 4 2 2 3" xfId="973" xr:uid="{07304B09-E41C-4A98-BF14-608E620FD01F}"/>
    <cellStyle name="Vírgula 2 2 3 4 2 3" xfId="403" xr:uid="{9579D640-6F0A-4A75-ADBB-A63F521BC160}"/>
    <cellStyle name="Vírgula 2 2 3 4 2 3 2" xfId="1101" xr:uid="{B73FEA00-5EAE-40FB-8499-D492D5A9CAAB}"/>
    <cellStyle name="Vírgula 2 2 3 4 2 4" xfId="845" xr:uid="{9D3DCEA4-8FB1-4919-B872-2FE4E93752F1}"/>
    <cellStyle name="Vírgula 2 2 3 4 3" xfId="211" xr:uid="{F99DF914-F78E-48B5-A4F5-563C0A0AF4EB}"/>
    <cellStyle name="Vírgula 2 2 3 4 3 2" xfId="467" xr:uid="{0E94E87E-CABB-4313-91C4-4FDD1AF1CA54}"/>
    <cellStyle name="Vírgula 2 2 3 4 3 2 2" xfId="1165" xr:uid="{C5DE0A29-2A37-4E38-B7A4-CB1F70743578}"/>
    <cellStyle name="Vírgula 2 2 3 4 3 3" xfId="909" xr:uid="{598902BF-F49F-4DE9-8015-6AE1A2B67180}"/>
    <cellStyle name="Vírgula 2 2 3 4 4" xfId="339" xr:uid="{BF967A0E-B36E-437B-8BBE-76424E1ED90B}"/>
    <cellStyle name="Vírgula 2 2 3 4 4 2" xfId="1037" xr:uid="{53BA68C8-9FEE-4317-A1A5-E8AFC1D095F8}"/>
    <cellStyle name="Vírgula 2 2 3 4 5" xfId="781" xr:uid="{9B3FBB7E-B875-4E98-A86D-E1EF2B657728}"/>
    <cellStyle name="Vírgula 2 2 3 5" xfId="115" xr:uid="{2308E2FF-8FC2-4C2D-89CF-56F2B6F82784}"/>
    <cellStyle name="Vírgula 2 2 3 5 2" xfId="243" xr:uid="{1E68FB3E-EB22-44F4-A22D-B12634C01FD5}"/>
    <cellStyle name="Vírgula 2 2 3 5 2 2" xfId="499" xr:uid="{758F75BA-2E65-49CA-8AEC-B21A8BA3097C}"/>
    <cellStyle name="Vírgula 2 2 3 5 2 2 2" xfId="1197" xr:uid="{DB45AE38-9556-452E-9CCB-8FE877E730E4}"/>
    <cellStyle name="Vírgula 2 2 3 5 2 3" xfId="941" xr:uid="{AE4366A5-3A8C-4640-927D-43CD4B54229C}"/>
    <cellStyle name="Vírgula 2 2 3 5 3" xfId="371" xr:uid="{6C6EBF46-7565-4615-81BE-DF48FE175FC1}"/>
    <cellStyle name="Vírgula 2 2 3 5 3 2" xfId="1069" xr:uid="{674B632F-2758-43C0-88B9-F915F1B1DAD2}"/>
    <cellStyle name="Vírgula 2 2 3 5 4" xfId="813" xr:uid="{6D7D8179-20D2-4EF5-A482-57A2857C77B0}"/>
    <cellStyle name="Vírgula 2 2 3 6" xfId="179" xr:uid="{9C6AE00F-8E0D-48E1-89D1-F6451B1F4FEE}"/>
    <cellStyle name="Vírgula 2 2 3 6 2" xfId="435" xr:uid="{050267CD-BCCA-42CF-A2D0-55A768100084}"/>
    <cellStyle name="Vírgula 2 2 3 6 2 2" xfId="1133" xr:uid="{78B9F2AB-0A76-43B3-9DC1-4FBC1270FD40}"/>
    <cellStyle name="Vírgula 2 2 3 6 3" xfId="877" xr:uid="{F9710163-35C1-4992-8E26-24CECA79AF81}"/>
    <cellStyle name="Vírgula 2 2 3 7" xfId="307" xr:uid="{53B50DFF-8E25-4563-96EE-D8D5F93AAEF1}"/>
    <cellStyle name="Vírgula 2 2 3 7 2" xfId="1005" xr:uid="{6BA9C415-DFF7-4F02-98E3-85425104EAC9}"/>
    <cellStyle name="Vírgula 2 2 3 8" xfId="668" xr:uid="{3DA8700F-8F64-42FE-ABCC-6749E35CA2EB}"/>
    <cellStyle name="Vírgula 2 2 3 8 2" xfId="1285" xr:uid="{751DEF0C-56F1-4FC2-9F1A-3B2DDA1684CB}"/>
    <cellStyle name="Vírgula 2 2 3 9" xfId="713" xr:uid="{84BF0558-BE8F-42D6-A4E5-B1DD002D7ABF}"/>
    <cellStyle name="Vírgula 2 2 3 9 2" xfId="1316" xr:uid="{45F9A222-E51F-4DA0-9F09-3AE4D00148C1}"/>
    <cellStyle name="Vírgula 2 2 4" xfId="55" xr:uid="{00000000-0005-0000-0000-000036000000}"/>
    <cellStyle name="Vírgula 2 2 4 2" xfId="71" xr:uid="{DE01A603-F14A-4460-BE0C-9F218115D46F}"/>
    <cellStyle name="Vírgula 2 2 4 2 2" xfId="103" xr:uid="{6CD759A2-8AE5-4961-A6E2-3E565BEE821C}"/>
    <cellStyle name="Vírgula 2 2 4 2 2 2" xfId="167" xr:uid="{DCD92252-6390-4AB4-9873-EB03EBD48C94}"/>
    <cellStyle name="Vírgula 2 2 4 2 2 2 2" xfId="295" xr:uid="{85F20492-CF71-4930-AF82-C7DF3C83BFAD}"/>
    <cellStyle name="Vírgula 2 2 4 2 2 2 2 2" xfId="551" xr:uid="{DE2E9AFA-FE46-42A5-8288-C5349A3A38D3}"/>
    <cellStyle name="Vírgula 2 2 4 2 2 2 2 2 2" xfId="1249" xr:uid="{305B4A2F-545B-4BB2-BEA8-D42D9C12DD76}"/>
    <cellStyle name="Vírgula 2 2 4 2 2 2 2 3" xfId="993" xr:uid="{A261B424-B385-48AF-A267-BDF18D183890}"/>
    <cellStyle name="Vírgula 2 2 4 2 2 2 3" xfId="423" xr:uid="{716A0780-8C38-47BF-A95D-187778CAEB53}"/>
    <cellStyle name="Vírgula 2 2 4 2 2 2 3 2" xfId="1121" xr:uid="{A3E48900-F172-49D2-99A5-22D45A4F6DF8}"/>
    <cellStyle name="Vírgula 2 2 4 2 2 2 4" xfId="865" xr:uid="{AA0ECBA2-D3A2-45BC-8754-6596C560B86E}"/>
    <cellStyle name="Vírgula 2 2 4 2 2 3" xfId="231" xr:uid="{09E1B27D-95C0-420B-B120-C210D4A21D5C}"/>
    <cellStyle name="Vírgula 2 2 4 2 2 3 2" xfId="487" xr:uid="{C99CB238-08C6-4863-B606-EF291AED5BBF}"/>
    <cellStyle name="Vírgula 2 2 4 2 2 3 2 2" xfId="1185" xr:uid="{B40176F2-644D-44FE-9DBA-1B061CD92CE3}"/>
    <cellStyle name="Vírgula 2 2 4 2 2 3 3" xfId="929" xr:uid="{B6DBB824-A808-410F-9A3A-EEC52F96F52B}"/>
    <cellStyle name="Vírgula 2 2 4 2 2 4" xfId="359" xr:uid="{7643CCE6-E273-48DE-9829-D16E399778B0}"/>
    <cellStyle name="Vírgula 2 2 4 2 2 4 2" xfId="1057" xr:uid="{91069DF4-D3CE-4F1E-8EA9-924A6FBD2B46}"/>
    <cellStyle name="Vírgula 2 2 4 2 2 5" xfId="801" xr:uid="{409D0646-8AFD-46B5-975B-B6F17FDAA015}"/>
    <cellStyle name="Vírgula 2 2 4 2 3" xfId="135" xr:uid="{8F7817DE-533D-4D29-939E-ACB3C014EDBC}"/>
    <cellStyle name="Vírgula 2 2 4 2 3 2" xfId="263" xr:uid="{9D201D3C-5790-4D1C-9EE1-0439D54A01E6}"/>
    <cellStyle name="Vírgula 2 2 4 2 3 2 2" xfId="519" xr:uid="{51293E51-D4F0-4C3B-86A6-24F3CBD11FA4}"/>
    <cellStyle name="Vírgula 2 2 4 2 3 2 2 2" xfId="1217" xr:uid="{7ADF5155-B38A-4A01-AE29-34E2C73CF03B}"/>
    <cellStyle name="Vírgula 2 2 4 2 3 2 3" xfId="961" xr:uid="{97BB9F4D-9A93-4E1F-9066-66896B484BB8}"/>
    <cellStyle name="Vírgula 2 2 4 2 3 3" xfId="391" xr:uid="{CD036E64-11AA-4214-B32E-A8E34248916E}"/>
    <cellStyle name="Vírgula 2 2 4 2 3 3 2" xfId="1089" xr:uid="{8C623D84-CBC8-4CE6-892D-7AAB11CC638D}"/>
    <cellStyle name="Vírgula 2 2 4 2 3 4" xfId="833" xr:uid="{76DA8C70-6072-4F2A-A749-398BF9A5911D}"/>
    <cellStyle name="Vírgula 2 2 4 2 4" xfId="199" xr:uid="{73FB079D-C508-4C84-9A2E-41F10799B184}"/>
    <cellStyle name="Vírgula 2 2 4 2 4 2" xfId="455" xr:uid="{6790BADD-FE64-4BD3-BD86-74D71697FA46}"/>
    <cellStyle name="Vírgula 2 2 4 2 4 2 2" xfId="1153" xr:uid="{7BA65D42-5AF3-4267-B728-28B322DDE594}"/>
    <cellStyle name="Vírgula 2 2 4 2 4 3" xfId="897" xr:uid="{1FA4CF05-04AD-4A06-AA19-24B931D51A9B}"/>
    <cellStyle name="Vírgula 2 2 4 2 5" xfId="327" xr:uid="{3CF70DF0-2F33-4BCF-BA78-1CB357B1027C}"/>
    <cellStyle name="Vírgula 2 2 4 2 5 2" xfId="1025" xr:uid="{CD2F8A71-B947-4962-819A-4473BEF21F59}"/>
    <cellStyle name="Vírgula 2 2 4 2 6" xfId="769" xr:uid="{414290BD-6646-4FD0-A7EC-ABA612862B80}"/>
    <cellStyle name="Vírgula 2 2 4 3" xfId="87" xr:uid="{DA5FD54D-6716-48CA-B9E3-30E4EFA94380}"/>
    <cellStyle name="Vírgula 2 2 4 3 2" xfId="151" xr:uid="{2232A3D8-C327-49FC-9E9A-8D6C49E96553}"/>
    <cellStyle name="Vírgula 2 2 4 3 2 2" xfId="279" xr:uid="{0729FCCB-F253-40DB-AE98-96ECD4559579}"/>
    <cellStyle name="Vírgula 2 2 4 3 2 2 2" xfId="535" xr:uid="{DBE17072-0745-4C37-A427-172EEE313AE1}"/>
    <cellStyle name="Vírgula 2 2 4 3 2 2 2 2" xfId="1233" xr:uid="{990F7001-FE5B-4FB5-95FF-8A7A42E8E6CC}"/>
    <cellStyle name="Vírgula 2 2 4 3 2 2 3" xfId="977" xr:uid="{E8E78E71-079E-4EB2-82EF-A34D2DAA82B5}"/>
    <cellStyle name="Vírgula 2 2 4 3 2 3" xfId="407" xr:uid="{C94B779E-C865-4E8D-95B1-08FDE3ED5F4B}"/>
    <cellStyle name="Vírgula 2 2 4 3 2 3 2" xfId="1105" xr:uid="{DBEF66FB-94CC-4325-8753-A43BCCD757B0}"/>
    <cellStyle name="Vírgula 2 2 4 3 2 4" xfId="849" xr:uid="{4AFE7275-69B2-47D7-8B2E-036CA4D3E353}"/>
    <cellStyle name="Vírgula 2 2 4 3 3" xfId="215" xr:uid="{816EE1D3-69C9-4D0A-BE4F-55885987767F}"/>
    <cellStyle name="Vírgula 2 2 4 3 3 2" xfId="471" xr:uid="{927D9D4A-F1D0-48B6-8469-9FD698113112}"/>
    <cellStyle name="Vírgula 2 2 4 3 3 2 2" xfId="1169" xr:uid="{63B39418-002F-43B9-8B51-60D56B69BD3D}"/>
    <cellStyle name="Vírgula 2 2 4 3 3 3" xfId="913" xr:uid="{E74ED479-ECCB-4F7A-A089-89016DC49E68}"/>
    <cellStyle name="Vírgula 2 2 4 3 4" xfId="343" xr:uid="{AD9E9A39-3A0B-4AE4-9BFF-7DF2BFB340B9}"/>
    <cellStyle name="Vírgula 2 2 4 3 4 2" xfId="1041" xr:uid="{A36A1ECF-CAD2-4017-A942-A216CACC5EB4}"/>
    <cellStyle name="Vírgula 2 2 4 3 5" xfId="785" xr:uid="{15636C03-CBCA-43EB-B8D4-CADBC1FC7B26}"/>
    <cellStyle name="Vírgula 2 2 4 4" xfId="119" xr:uid="{1781CEB7-664C-471C-8701-E4C455F447A6}"/>
    <cellStyle name="Vírgula 2 2 4 4 2" xfId="247" xr:uid="{F4C83D24-3768-4570-96BB-D75BE3022C49}"/>
    <cellStyle name="Vírgula 2 2 4 4 2 2" xfId="503" xr:uid="{F656A224-5973-4F42-8B91-044B18B1D20E}"/>
    <cellStyle name="Vírgula 2 2 4 4 2 2 2" xfId="1201" xr:uid="{97A33F6D-8B6A-4F5A-869A-BA0DA96759A0}"/>
    <cellStyle name="Vírgula 2 2 4 4 2 3" xfId="945" xr:uid="{B453C8CE-5332-4110-9AA6-067690A7B1EC}"/>
    <cellStyle name="Vírgula 2 2 4 4 3" xfId="375" xr:uid="{226D5FEA-4C2A-4DCA-8196-645B3CEF1FEE}"/>
    <cellStyle name="Vírgula 2 2 4 4 3 2" xfId="1073" xr:uid="{D85C5F06-9ED7-4767-A765-D3914C970B0D}"/>
    <cellStyle name="Vírgula 2 2 4 4 4" xfId="817" xr:uid="{1AC8C477-2CEA-4DA9-A3ED-26094E4A43C2}"/>
    <cellStyle name="Vírgula 2 2 4 5" xfId="183" xr:uid="{F1F114B5-3458-4EF0-8940-85FA92F64FDA}"/>
    <cellStyle name="Vírgula 2 2 4 5 2" xfId="439" xr:uid="{90E36EE2-FF86-40F0-B9D5-812E5DE31157}"/>
    <cellStyle name="Vírgula 2 2 4 5 2 2" xfId="1137" xr:uid="{6617A7E1-4DDB-4EF7-9EFC-183D9ADCCF93}"/>
    <cellStyle name="Vírgula 2 2 4 5 3" xfId="881" xr:uid="{BB4BDEC9-BE8A-469F-909A-C94103699F76}"/>
    <cellStyle name="Vírgula 2 2 4 6" xfId="311" xr:uid="{123B63FE-81EE-4FA1-A8F4-DF53898B76B3}"/>
    <cellStyle name="Vírgula 2 2 4 6 2" xfId="1009" xr:uid="{29917ECE-4C41-4F6E-8B01-B93C4F62EA2D}"/>
    <cellStyle name="Vírgula 2 2 4 7" xfId="753" xr:uid="{994D2679-62EA-4207-A088-7BF73659E656}"/>
    <cellStyle name="Vírgula 2 2 5" xfId="63" xr:uid="{33EFE6E5-A6DE-4B3E-8437-F4544326F268}"/>
    <cellStyle name="Vírgula 2 2 5 2" xfId="95" xr:uid="{82BC7AD7-4C3E-4F42-AE3C-AA6578A2E04C}"/>
    <cellStyle name="Vírgula 2 2 5 2 2" xfId="159" xr:uid="{50388B65-1675-4645-A29F-CB0B6978B70F}"/>
    <cellStyle name="Vírgula 2 2 5 2 2 2" xfId="287" xr:uid="{85DA7285-0FAB-44DC-9375-0E178A1947F0}"/>
    <cellStyle name="Vírgula 2 2 5 2 2 2 2" xfId="543" xr:uid="{6A195E37-030E-4578-B4E2-54761DD39ECE}"/>
    <cellStyle name="Vírgula 2 2 5 2 2 2 2 2" xfId="1241" xr:uid="{B5B4AE3E-533C-4D85-9435-848057643D42}"/>
    <cellStyle name="Vírgula 2 2 5 2 2 2 3" xfId="985" xr:uid="{7C46B0FF-4264-442A-A5BC-F767596F0D17}"/>
    <cellStyle name="Vírgula 2 2 5 2 2 3" xfId="415" xr:uid="{18AAFA75-A5E3-4828-9907-AEAAB0F2F2E5}"/>
    <cellStyle name="Vírgula 2 2 5 2 2 3 2" xfId="1113" xr:uid="{640ACF16-1867-4565-A943-37BD201E54D1}"/>
    <cellStyle name="Vírgula 2 2 5 2 2 4" xfId="857" xr:uid="{ED7D8A33-BE39-465B-B86D-F23C2621B37D}"/>
    <cellStyle name="Vírgula 2 2 5 2 3" xfId="223" xr:uid="{990C8F92-49A8-4613-BAFF-5C337851803A}"/>
    <cellStyle name="Vírgula 2 2 5 2 3 2" xfId="479" xr:uid="{FEB6D278-5A24-41F2-8106-7CFA4DEF2BD0}"/>
    <cellStyle name="Vírgula 2 2 5 2 3 2 2" xfId="1177" xr:uid="{F4510860-0F2A-4375-A8AE-3DE491B8C621}"/>
    <cellStyle name="Vírgula 2 2 5 2 3 3" xfId="921" xr:uid="{0AD2CB3C-3DF0-4D1E-B67A-F6421CC20848}"/>
    <cellStyle name="Vírgula 2 2 5 2 4" xfId="351" xr:uid="{F7DC8F47-1C8E-47ED-8097-5EBB401AE852}"/>
    <cellStyle name="Vírgula 2 2 5 2 4 2" xfId="1049" xr:uid="{4D301864-5BF7-4A95-A55C-0581D1ECAF73}"/>
    <cellStyle name="Vírgula 2 2 5 2 5" xfId="793" xr:uid="{B0FD579E-8583-46BF-930F-75891AD6C1DE}"/>
    <cellStyle name="Vírgula 2 2 5 3" xfId="127" xr:uid="{EE84DEF8-DE00-444F-8D17-99D3889BF433}"/>
    <cellStyle name="Vírgula 2 2 5 3 2" xfId="255" xr:uid="{EBE1828D-6A1F-4555-A80A-E794878F3512}"/>
    <cellStyle name="Vírgula 2 2 5 3 2 2" xfId="511" xr:uid="{CEF7AC4D-6C8E-411A-AE14-7404D4D27681}"/>
    <cellStyle name="Vírgula 2 2 5 3 2 2 2" xfId="1209" xr:uid="{4347EA2D-8966-413B-BAA4-1414335FAD49}"/>
    <cellStyle name="Vírgula 2 2 5 3 2 3" xfId="953" xr:uid="{AE88D719-C190-4A8A-A315-FF083E6F11EF}"/>
    <cellStyle name="Vírgula 2 2 5 3 3" xfId="383" xr:uid="{70B8F1B4-686C-4141-8782-78CFCC3169B9}"/>
    <cellStyle name="Vírgula 2 2 5 3 3 2" xfId="1081" xr:uid="{EB3CF507-7E93-4363-9877-7C5A047CC25D}"/>
    <cellStyle name="Vírgula 2 2 5 3 4" xfId="825" xr:uid="{C0D3CC09-FB18-49ED-8158-97A250367290}"/>
    <cellStyle name="Vírgula 2 2 5 4" xfId="191" xr:uid="{CBA4BDCE-9189-4FB5-9777-9B179AD89E2F}"/>
    <cellStyle name="Vírgula 2 2 5 4 2" xfId="447" xr:uid="{F8A4529E-8984-4083-8781-EB73DB79212A}"/>
    <cellStyle name="Vírgula 2 2 5 4 2 2" xfId="1145" xr:uid="{437C02EC-4904-4F67-A8FC-320DD3301E16}"/>
    <cellStyle name="Vírgula 2 2 5 4 3" xfId="889" xr:uid="{236E95F1-1474-44EC-BEBA-12516A620A44}"/>
    <cellStyle name="Vírgula 2 2 5 5" xfId="319" xr:uid="{0B0B6798-B9E1-442C-AFB2-9457B3A97D69}"/>
    <cellStyle name="Vírgula 2 2 5 5 2" xfId="1017" xr:uid="{F3CDDBF0-0BAB-4D5D-8FF7-9A1512A4BB38}"/>
    <cellStyle name="Vírgula 2 2 5 6" xfId="761" xr:uid="{AB84FBB0-892D-47B5-B2C4-2B19C53DE232}"/>
    <cellStyle name="Vírgula 2 2 6" xfId="79" xr:uid="{4FAF325E-5CC7-4BCF-A8DF-1E6F7F04B40A}"/>
    <cellStyle name="Vírgula 2 2 6 2" xfId="143" xr:uid="{D6E57C5B-082F-428C-87C0-2A7D27AF2C7F}"/>
    <cellStyle name="Vírgula 2 2 6 2 2" xfId="271" xr:uid="{CF66E27E-BAB0-49EE-BBD7-BF5A739F32FA}"/>
    <cellStyle name="Vírgula 2 2 6 2 2 2" xfId="527" xr:uid="{E74CCC00-29BA-4C14-904A-F33EB38D7452}"/>
    <cellStyle name="Vírgula 2 2 6 2 2 2 2" xfId="1225" xr:uid="{4532F153-EBD5-4B93-8F1B-E83FCE282C2A}"/>
    <cellStyle name="Vírgula 2 2 6 2 2 3" xfId="969" xr:uid="{478925F1-AD9B-4AA9-8459-F528441F2386}"/>
    <cellStyle name="Vírgula 2 2 6 2 3" xfId="399" xr:uid="{D0A110E6-93F1-44B0-86DB-1BBB88542CEE}"/>
    <cellStyle name="Vírgula 2 2 6 2 3 2" xfId="1097" xr:uid="{E6F008A5-A525-4906-9974-A0E94A13D2F8}"/>
    <cellStyle name="Vírgula 2 2 6 2 4" xfId="841" xr:uid="{550BD574-4B53-405C-B778-FB70524A50B5}"/>
    <cellStyle name="Vírgula 2 2 6 3" xfId="207" xr:uid="{BBCC82E8-120B-4FF0-B457-6368116AB213}"/>
    <cellStyle name="Vírgula 2 2 6 3 2" xfId="463" xr:uid="{446619D5-4D17-435D-910D-C6B6796A8B7E}"/>
    <cellStyle name="Vírgula 2 2 6 3 2 2" xfId="1161" xr:uid="{96A36488-ACA7-42E8-A86C-21E796D859BA}"/>
    <cellStyle name="Vírgula 2 2 6 3 3" xfId="905" xr:uid="{3C18EB16-7577-4417-A67D-457A81710259}"/>
    <cellStyle name="Vírgula 2 2 6 4" xfId="335" xr:uid="{736DAE5A-73D6-422B-B198-368167F1E9E9}"/>
    <cellStyle name="Vírgula 2 2 6 4 2" xfId="1033" xr:uid="{A8E1D625-1C4D-44BB-A8EA-A899A2C18670}"/>
    <cellStyle name="Vírgula 2 2 6 5" xfId="777" xr:uid="{E6B9678B-2A6E-466B-9B44-CCE332518057}"/>
    <cellStyle name="Vírgula 2 2 7" xfId="111" xr:uid="{4377EB5D-4A1D-42CF-8449-FCBF85F77EC8}"/>
    <cellStyle name="Vírgula 2 2 7 2" xfId="239" xr:uid="{31951CC8-CD81-4978-A10F-010DCC6FB778}"/>
    <cellStyle name="Vírgula 2 2 7 2 2" xfId="495" xr:uid="{ECA9DDEC-C22E-41DF-917D-83F08D5D8BFA}"/>
    <cellStyle name="Vírgula 2 2 7 2 2 2" xfId="1193" xr:uid="{A0DA0F3F-F1EF-4FA0-AEBD-F216A18AE54B}"/>
    <cellStyle name="Vírgula 2 2 7 2 3" xfId="937" xr:uid="{71DB54A9-ECE8-40EC-925D-6F2CD2CD9C7D}"/>
    <cellStyle name="Vírgula 2 2 7 3" xfId="367" xr:uid="{E52BD28E-7423-4BE7-914E-648A8EEB4D59}"/>
    <cellStyle name="Vírgula 2 2 7 3 2" xfId="1065" xr:uid="{F7CD7C1B-711B-4AF4-A963-94957C2D9EC3}"/>
    <cellStyle name="Vírgula 2 2 7 4" xfId="809" xr:uid="{92CBFE79-C6DF-47CC-BEA8-437F152BE72B}"/>
    <cellStyle name="Vírgula 2 2 8" xfId="175" xr:uid="{768D97F7-5F75-417E-8F03-636862C881EA}"/>
    <cellStyle name="Vírgula 2 2 8 2" xfId="431" xr:uid="{424A8F75-F34E-4DC5-A9D1-1404DB12076B}"/>
    <cellStyle name="Vírgula 2 2 8 2 2" xfId="1129" xr:uid="{9403D477-BDD6-4138-8FC9-1D3D6B1BBD7C}"/>
    <cellStyle name="Vírgula 2 2 8 3" xfId="873" xr:uid="{5F1EB91C-9B80-424E-BEF8-BE38D6C08737}"/>
    <cellStyle name="Vírgula 2 2 9" xfId="303" xr:uid="{E7964B07-881A-4CA3-B757-9C299112C316}"/>
    <cellStyle name="Vírgula 2 2 9 2" xfId="1001" xr:uid="{578C78DD-C6FB-42FD-ADCC-B496DA69437A}"/>
    <cellStyle name="Vírgula 2 3" xfId="602" xr:uid="{E1933942-1881-463C-9318-DC69A90AE7C4}"/>
    <cellStyle name="Vírgula 2 3 2" xfId="675" xr:uid="{C43FFCF4-5CF8-4DF2-8BDE-35D73DAA1B84}"/>
    <cellStyle name="Vírgula 2 3 2 2" xfId="716" xr:uid="{2F74F1D1-A44C-4D54-8CCC-D278A775F9CE}"/>
    <cellStyle name="Vírgula 2 3 2 2 2" xfId="1319" xr:uid="{C4FD556E-6F8E-42F3-8D03-0D87FF59B643}"/>
    <cellStyle name="Vírgula 2 3 2 3" xfId="1288" xr:uid="{A62BCA81-9938-4B1C-9E91-A6A59023468D}"/>
    <cellStyle name="Vírgula 2 3 3" xfId="1264" xr:uid="{68480DB5-5269-425E-8C42-E4DE99A2E6BD}"/>
    <cellStyle name="Vírgula 2 4" xfId="608" xr:uid="{93D26867-79C6-40E0-86B1-7B9B227DD8AD}"/>
    <cellStyle name="Vírgula 2 4 2" xfId="681" xr:uid="{2B6F5117-7DFA-47C5-ABA3-8792464CE24B}"/>
    <cellStyle name="Vírgula 2 4 2 2" xfId="719" xr:uid="{03A10809-3ABC-4512-96A5-5A5ECF9FFC6B}"/>
    <cellStyle name="Vírgula 2 4 2 2 2" xfId="1322" xr:uid="{2643E3D8-5BAE-4CC2-9D72-94DC6915FE41}"/>
    <cellStyle name="Vírgula 2 4 2 3" xfId="1291" xr:uid="{7C250619-18BE-427A-BE3F-C2B25108450B}"/>
    <cellStyle name="Vírgula 2 4 3" xfId="1267" xr:uid="{A415305F-FD61-4B05-9DA5-25CD802889A3}"/>
    <cellStyle name="Vírgula 2 5" xfId="612" xr:uid="{E82BFD63-77AA-44DF-A11F-4C7EF6355A9E}"/>
    <cellStyle name="Vírgula 2 5 2" xfId="685" xr:uid="{CF48B9A0-9259-4240-A4C0-AB10F0968995}"/>
    <cellStyle name="Vírgula 2 5 2 2" xfId="721" xr:uid="{A402B350-5744-4034-BBBC-AA3D06DB2B12}"/>
    <cellStyle name="Vírgula 2 5 2 2 2" xfId="1324" xr:uid="{E01A0826-C19C-4DB9-BB7B-7E2645DA368E}"/>
    <cellStyle name="Vírgula 2 5 2 3" xfId="1293" xr:uid="{1D60B1AF-7261-4994-9C54-BF281DF60C05}"/>
    <cellStyle name="Vírgula 2 5 3" xfId="1269" xr:uid="{63806C11-9592-4E1D-9BF6-175403727C85}"/>
    <cellStyle name="Vírgula 2 6" xfId="664" xr:uid="{C088FA93-4F3E-471D-AF0C-0BD88EA79371}"/>
    <cellStyle name="Vírgula 2 6 2" xfId="709" xr:uid="{23528B4B-9246-4070-95EF-F0069CC9FACB}"/>
    <cellStyle name="Vírgula 2 6 2 2" xfId="1312" xr:uid="{DEC5FAE8-D1BC-4ABA-8131-16B94DEF5FF8}"/>
    <cellStyle name="Vírgula 2 6 3" xfId="1281" xr:uid="{2AFF14C2-C306-48D7-8848-297543EF3677}"/>
    <cellStyle name="Vírgula 2 7" xfId="588" xr:uid="{0A4262D6-6095-4EE3-9667-D838BAD7DA71}"/>
    <cellStyle name="Vírgula 2 7 2" xfId="1257" xr:uid="{EE08C8AC-B3E8-4539-A10B-2DCE8F1E93DD}"/>
    <cellStyle name="Vírgula 3" xfId="46" xr:uid="{00000000-0005-0000-0000-000037000000}"/>
    <cellStyle name="Vírgula 3 10" xfId="590" xr:uid="{F21F18B9-96A1-4AD9-9079-40E3C28C0B57}"/>
    <cellStyle name="Vírgula 3 10 2" xfId="1259" xr:uid="{42244390-AFDE-4ED0-AE29-799F0F13D367}"/>
    <cellStyle name="Vírgula 3 11" xfId="744" xr:uid="{873FA1B6-6EAE-4DE3-B0F1-59ECADD8038F}"/>
    <cellStyle name="Vírgula 3 2" xfId="48" xr:uid="{00000000-0005-0000-0000-000038000000}"/>
    <cellStyle name="Vírgula 3 2 10" xfId="746" xr:uid="{7F3643B6-79C5-4087-A49D-E913F0CCA36B}"/>
    <cellStyle name="Vírgula 3 2 2" xfId="52" xr:uid="{00000000-0005-0000-0000-000039000000}"/>
    <cellStyle name="Vírgula 3 2 2 10" xfId="750" xr:uid="{8EF1C864-5C3C-4B38-9F86-B79BB22E6560}"/>
    <cellStyle name="Vírgula 3 2 2 2" xfId="60" xr:uid="{00000000-0005-0000-0000-00003A000000}"/>
    <cellStyle name="Vírgula 3 2 2 2 2" xfId="76" xr:uid="{8CE0ACD7-A706-46A1-8BE7-2AB58DD9C7BD}"/>
    <cellStyle name="Vírgula 3 2 2 2 2 2" xfId="108" xr:uid="{E4FC152C-C4DE-435F-B571-CA9B7344A13E}"/>
    <cellStyle name="Vírgula 3 2 2 2 2 2 2" xfId="172" xr:uid="{5D03DC03-E95A-48FD-BC5E-359AF96F3913}"/>
    <cellStyle name="Vírgula 3 2 2 2 2 2 2 2" xfId="300" xr:uid="{6C5B9DA7-F3DE-4483-8FAC-11B3BF976DB5}"/>
    <cellStyle name="Vírgula 3 2 2 2 2 2 2 2 2" xfId="556" xr:uid="{E172B005-B7E6-4656-9EB4-79B5BB7EE6CB}"/>
    <cellStyle name="Vírgula 3 2 2 2 2 2 2 2 2 2" xfId="1254" xr:uid="{F0A342C6-34E9-4DEB-8C57-2E66B75868CC}"/>
    <cellStyle name="Vírgula 3 2 2 2 2 2 2 2 3" xfId="998" xr:uid="{3E195CA4-0844-4B30-95C8-09D387795001}"/>
    <cellStyle name="Vírgula 3 2 2 2 2 2 2 3" xfId="428" xr:uid="{B1442D58-495D-4941-BAB2-6458397CE301}"/>
    <cellStyle name="Vírgula 3 2 2 2 2 2 2 3 2" xfId="1126" xr:uid="{6273C4F7-0C8E-48CF-B385-0D9469107A2D}"/>
    <cellStyle name="Vírgula 3 2 2 2 2 2 2 4" xfId="870" xr:uid="{9FBC0D2B-A525-4A65-8B43-802E77BC4E7B}"/>
    <cellStyle name="Vírgula 3 2 2 2 2 2 3" xfId="236" xr:uid="{416644A8-CAB8-4EBC-86D0-94571173201E}"/>
    <cellStyle name="Vírgula 3 2 2 2 2 2 3 2" xfId="492" xr:uid="{780AC992-9083-431E-88DD-902C9D1C54B3}"/>
    <cellStyle name="Vírgula 3 2 2 2 2 2 3 2 2" xfId="1190" xr:uid="{725E587F-B39D-437E-A991-F4477A09FA68}"/>
    <cellStyle name="Vírgula 3 2 2 2 2 2 3 3" xfId="934" xr:uid="{6B64DFC7-51C8-4CDE-98F9-FD6DD3C24CFC}"/>
    <cellStyle name="Vírgula 3 2 2 2 2 2 4" xfId="364" xr:uid="{10A1B545-D1EC-49C7-8136-74F22C994D95}"/>
    <cellStyle name="Vírgula 3 2 2 2 2 2 4 2" xfId="1062" xr:uid="{D3A84A3F-580E-4F5C-8884-30C74B4757BB}"/>
    <cellStyle name="Vírgula 3 2 2 2 2 2 5" xfId="806" xr:uid="{028C95C3-F48D-4DD8-8034-AB0D08378605}"/>
    <cellStyle name="Vírgula 3 2 2 2 2 3" xfId="140" xr:uid="{84FD9054-6935-4862-88A5-42F62FCFDA22}"/>
    <cellStyle name="Vírgula 3 2 2 2 2 3 2" xfId="268" xr:uid="{4306F474-A3C6-4454-ACB5-5AD0C44BB3F4}"/>
    <cellStyle name="Vírgula 3 2 2 2 2 3 2 2" xfId="524" xr:uid="{A56FF062-18A8-4D7E-A704-FEA4F13B0B35}"/>
    <cellStyle name="Vírgula 3 2 2 2 2 3 2 2 2" xfId="1222" xr:uid="{DA6DE3DB-BCE3-4E77-BC4A-70120C8B7D47}"/>
    <cellStyle name="Vírgula 3 2 2 2 2 3 2 3" xfId="966" xr:uid="{BD4EDE32-BB1C-44C2-9AD1-DF93A9F0700A}"/>
    <cellStyle name="Vírgula 3 2 2 2 2 3 3" xfId="396" xr:uid="{C2A684E4-E833-4586-B0F9-21B7E76490AE}"/>
    <cellStyle name="Vírgula 3 2 2 2 2 3 3 2" xfId="1094" xr:uid="{FF32B212-B2AC-4E91-AB13-08E4FCFE971F}"/>
    <cellStyle name="Vírgula 3 2 2 2 2 3 4" xfId="838" xr:uid="{87B41AA9-BDB3-4B3A-9F5A-F21520601DEE}"/>
    <cellStyle name="Vírgula 3 2 2 2 2 4" xfId="204" xr:uid="{897A1D87-288F-4CC3-8537-8A55DC09DB27}"/>
    <cellStyle name="Vírgula 3 2 2 2 2 4 2" xfId="460" xr:uid="{75B8A198-F25E-4D2D-91CB-0352DB187B4F}"/>
    <cellStyle name="Vírgula 3 2 2 2 2 4 2 2" xfId="1158" xr:uid="{DEB1C8B7-AF03-4CE2-8364-39AB53C20046}"/>
    <cellStyle name="Vírgula 3 2 2 2 2 4 3" xfId="902" xr:uid="{D85ADE03-DED6-4727-83E7-CA28939C353E}"/>
    <cellStyle name="Vírgula 3 2 2 2 2 5" xfId="332" xr:uid="{C8101D80-C0C4-48A9-828B-BBFF5FF24D7A}"/>
    <cellStyle name="Vírgula 3 2 2 2 2 5 2" xfId="1030" xr:uid="{75726621-BE96-4BE0-8C20-A811EDF91181}"/>
    <cellStyle name="Vírgula 3 2 2 2 2 6" xfId="774" xr:uid="{5D8D1C10-F3E8-4881-A9FB-B973270DDE95}"/>
    <cellStyle name="Vírgula 3 2 2 2 3" xfId="92" xr:uid="{8CB725DA-6BAE-40A5-A606-890A22153F1F}"/>
    <cellStyle name="Vírgula 3 2 2 2 3 2" xfId="156" xr:uid="{B520B754-917E-4280-8982-E87140915BDF}"/>
    <cellStyle name="Vírgula 3 2 2 2 3 2 2" xfId="284" xr:uid="{0DAF40FD-26D8-4DD1-BCB1-7D5196C6B195}"/>
    <cellStyle name="Vírgula 3 2 2 2 3 2 2 2" xfId="540" xr:uid="{3BD5B87A-8993-4836-9BC2-7866434E17B6}"/>
    <cellStyle name="Vírgula 3 2 2 2 3 2 2 2 2" xfId="1238" xr:uid="{61712293-46AE-499E-A3A5-2AD8DCC3BD7A}"/>
    <cellStyle name="Vírgula 3 2 2 2 3 2 2 3" xfId="982" xr:uid="{B7C36157-A963-4B2E-924A-BB5C551248A6}"/>
    <cellStyle name="Vírgula 3 2 2 2 3 2 3" xfId="412" xr:uid="{BDBB2224-931F-45E5-B427-B8DF21659408}"/>
    <cellStyle name="Vírgula 3 2 2 2 3 2 3 2" xfId="1110" xr:uid="{368DBA9F-8D2A-4E69-9322-08B9A54497E5}"/>
    <cellStyle name="Vírgula 3 2 2 2 3 2 4" xfId="854" xr:uid="{99094BBF-B5B7-450A-AF8F-7F1670206045}"/>
    <cellStyle name="Vírgula 3 2 2 2 3 3" xfId="220" xr:uid="{1C307A04-6F1F-490B-902F-3D47250ED24F}"/>
    <cellStyle name="Vírgula 3 2 2 2 3 3 2" xfId="476" xr:uid="{AAFD714C-D8BE-4BE2-8615-A2888FEF9CB5}"/>
    <cellStyle name="Vírgula 3 2 2 2 3 3 2 2" xfId="1174" xr:uid="{2EE567BB-87EF-4BFE-ACD9-70DEECDD2CDD}"/>
    <cellStyle name="Vírgula 3 2 2 2 3 3 3" xfId="918" xr:uid="{F08EF903-23E2-4FE9-93EC-EBE8CA49DA0F}"/>
    <cellStyle name="Vírgula 3 2 2 2 3 4" xfId="348" xr:uid="{15E551FF-2C4F-433E-907B-2C44A15E208D}"/>
    <cellStyle name="Vírgula 3 2 2 2 3 4 2" xfId="1046" xr:uid="{41BF9E4B-17CE-46CB-BA28-B7835753BBFE}"/>
    <cellStyle name="Vírgula 3 2 2 2 3 5" xfId="790" xr:uid="{83D1671E-746F-49D6-9BC6-52A935AF933A}"/>
    <cellStyle name="Vírgula 3 2 2 2 4" xfId="124" xr:uid="{BBE78175-FBB2-4980-9D2A-EBDF69183EDA}"/>
    <cellStyle name="Vírgula 3 2 2 2 4 2" xfId="252" xr:uid="{363C9DCF-A90B-4F75-8F80-EFA1541EC0FB}"/>
    <cellStyle name="Vírgula 3 2 2 2 4 2 2" xfId="508" xr:uid="{141532D3-595F-474A-9971-31908F47C6C7}"/>
    <cellStyle name="Vírgula 3 2 2 2 4 2 2 2" xfId="1206" xr:uid="{6110FEFE-75EF-41CA-AFAA-1417C0825724}"/>
    <cellStyle name="Vírgula 3 2 2 2 4 2 3" xfId="950" xr:uid="{EE0FFFC0-1381-4CFE-AA10-38C868177C83}"/>
    <cellStyle name="Vírgula 3 2 2 2 4 3" xfId="380" xr:uid="{88C634BF-193C-41C3-A1CF-E55672BB5881}"/>
    <cellStyle name="Vírgula 3 2 2 2 4 3 2" xfId="1078" xr:uid="{58DC6BB7-83FF-4368-9AA3-06AABEF70FB7}"/>
    <cellStyle name="Vírgula 3 2 2 2 4 4" xfId="822" xr:uid="{59C4EAA4-82D0-45CF-B3E1-2410CAA5A2A1}"/>
    <cellStyle name="Vírgula 3 2 2 2 5" xfId="188" xr:uid="{8598DF04-683C-49BE-945F-7991E7FAFA4E}"/>
    <cellStyle name="Vírgula 3 2 2 2 5 2" xfId="444" xr:uid="{ED748E9D-DA4A-44DF-9781-6BBE1C25C8A2}"/>
    <cellStyle name="Vírgula 3 2 2 2 5 2 2" xfId="1142" xr:uid="{BFB1F0E7-4977-4FC5-8648-B61CB0A56EE5}"/>
    <cellStyle name="Vírgula 3 2 2 2 5 3" xfId="886" xr:uid="{8E9086E7-0A2C-4818-B8CF-6B524C2976D7}"/>
    <cellStyle name="Vírgula 3 2 2 2 6" xfId="316" xr:uid="{452A3F95-7E6F-4D07-A12A-707A1463E542}"/>
    <cellStyle name="Vírgula 3 2 2 2 6 2" xfId="1014" xr:uid="{43B12A25-B618-48F1-9FBD-42C2E1614C2D}"/>
    <cellStyle name="Vírgula 3 2 2 2 7" xfId="758" xr:uid="{928C83D9-5341-454F-8B7D-590104D5CABE}"/>
    <cellStyle name="Vírgula 3 2 2 3" xfId="68" xr:uid="{ECD770B0-9027-4C30-886E-CAE1BC818AFA}"/>
    <cellStyle name="Vírgula 3 2 2 3 2" xfId="100" xr:uid="{FE51F87C-8973-4878-BFDE-FA85FC2CA48A}"/>
    <cellStyle name="Vírgula 3 2 2 3 2 2" xfId="164" xr:uid="{7929971D-F67A-424A-941C-178E9BD2F54D}"/>
    <cellStyle name="Vírgula 3 2 2 3 2 2 2" xfId="292" xr:uid="{48AA8158-B1CC-40B9-B4D9-9ECE896977B5}"/>
    <cellStyle name="Vírgula 3 2 2 3 2 2 2 2" xfId="548" xr:uid="{7A46086A-3C06-4152-BA7B-2B4EB80C45F7}"/>
    <cellStyle name="Vírgula 3 2 2 3 2 2 2 2 2" xfId="1246" xr:uid="{DFFEBF4E-892F-4706-B543-97AA23DA3D04}"/>
    <cellStyle name="Vírgula 3 2 2 3 2 2 2 3" xfId="990" xr:uid="{2CBEA332-5FB1-4AD9-BCA0-88D1F215395E}"/>
    <cellStyle name="Vírgula 3 2 2 3 2 2 3" xfId="420" xr:uid="{4A8A9198-56C2-4FF4-83C6-415A7026DC29}"/>
    <cellStyle name="Vírgula 3 2 2 3 2 2 3 2" xfId="1118" xr:uid="{655D9E94-286E-4F3F-9A9C-9708AF63C319}"/>
    <cellStyle name="Vírgula 3 2 2 3 2 2 4" xfId="862" xr:uid="{9C83B591-238F-4AB2-BA4F-26922242B70F}"/>
    <cellStyle name="Vírgula 3 2 2 3 2 3" xfId="228" xr:uid="{899A80F7-D825-493F-8A12-6F4B77957563}"/>
    <cellStyle name="Vírgula 3 2 2 3 2 3 2" xfId="484" xr:uid="{F3CEC765-4E66-4E10-9E41-8365A4CE4E0A}"/>
    <cellStyle name="Vírgula 3 2 2 3 2 3 2 2" xfId="1182" xr:uid="{943D3B8A-2761-4614-B1A1-00652FA2FB98}"/>
    <cellStyle name="Vírgula 3 2 2 3 2 3 3" xfId="926" xr:uid="{728A4A76-FA95-42A4-8214-3B95B7187A3C}"/>
    <cellStyle name="Vírgula 3 2 2 3 2 4" xfId="356" xr:uid="{7908B28E-583C-4EA4-B503-F557242E5165}"/>
    <cellStyle name="Vírgula 3 2 2 3 2 4 2" xfId="1054" xr:uid="{3B9578A7-8B37-4763-B496-704D2728153D}"/>
    <cellStyle name="Vírgula 3 2 2 3 2 5" xfId="798" xr:uid="{3B5612C4-8834-48BD-8CE8-D1C00BDC6EA7}"/>
    <cellStyle name="Vírgula 3 2 2 3 3" xfId="132" xr:uid="{7202851D-05AB-4090-83A9-0DAFA8AA5D3E}"/>
    <cellStyle name="Vírgula 3 2 2 3 3 2" xfId="260" xr:uid="{5D60A081-3224-4CD6-A2C3-63746D46F592}"/>
    <cellStyle name="Vírgula 3 2 2 3 3 2 2" xfId="516" xr:uid="{81577FCC-6CCD-4020-B5C4-D4B8F4741000}"/>
    <cellStyle name="Vírgula 3 2 2 3 3 2 2 2" xfId="1214" xr:uid="{3E521F65-28E9-48C6-A3D8-5F4AC5A629A7}"/>
    <cellStyle name="Vírgula 3 2 2 3 3 2 3" xfId="958" xr:uid="{03A1306F-63B7-4C35-A029-A1E574510E3A}"/>
    <cellStyle name="Vírgula 3 2 2 3 3 3" xfId="388" xr:uid="{7C396E70-6C70-4862-83D7-622B7BC17E37}"/>
    <cellStyle name="Vírgula 3 2 2 3 3 3 2" xfId="1086" xr:uid="{6FC83D16-8E56-473F-9E27-600BCECC8F8E}"/>
    <cellStyle name="Vírgula 3 2 2 3 3 4" xfId="830" xr:uid="{873AE8D2-4B9B-4316-AEB3-4B5139CD7E20}"/>
    <cellStyle name="Vírgula 3 2 2 3 4" xfId="196" xr:uid="{D6FF07F3-DD3F-4655-B266-87CE8D7F6E7D}"/>
    <cellStyle name="Vírgula 3 2 2 3 4 2" xfId="452" xr:uid="{0ED7A4F9-FE2F-48B4-9D75-14A14F8D34C9}"/>
    <cellStyle name="Vírgula 3 2 2 3 4 2 2" xfId="1150" xr:uid="{0C061B37-6DC3-4322-B6E5-BA1F2716A529}"/>
    <cellStyle name="Vírgula 3 2 2 3 4 3" xfId="894" xr:uid="{EB813805-AA2E-43A1-8F3B-58D4182C9AC5}"/>
    <cellStyle name="Vírgula 3 2 2 3 5" xfId="324" xr:uid="{D5889C73-DD81-4854-BF21-37F59E95561D}"/>
    <cellStyle name="Vírgula 3 2 2 3 5 2" xfId="1022" xr:uid="{F2AB868E-017C-4887-A895-0C8BA34220C9}"/>
    <cellStyle name="Vírgula 3 2 2 3 6" xfId="766" xr:uid="{F0E07A12-F8FB-4300-BD02-59DA8E283723}"/>
    <cellStyle name="Vírgula 3 2 2 4" xfId="84" xr:uid="{B841E955-4ECE-4DE5-91C9-6E1E40E66744}"/>
    <cellStyle name="Vírgula 3 2 2 4 2" xfId="148" xr:uid="{2FAC23B3-0F57-4DEF-828B-32C41461B1BD}"/>
    <cellStyle name="Vírgula 3 2 2 4 2 2" xfId="276" xr:uid="{E5D51EF4-DF7C-460A-B07B-927B4ABA9BCE}"/>
    <cellStyle name="Vírgula 3 2 2 4 2 2 2" xfId="532" xr:uid="{7C376606-680C-4DDE-9A1A-ECCDA57D4569}"/>
    <cellStyle name="Vírgula 3 2 2 4 2 2 2 2" xfId="1230" xr:uid="{24066EA0-B8F4-439E-AC02-BB15D83F049C}"/>
    <cellStyle name="Vírgula 3 2 2 4 2 2 3" xfId="974" xr:uid="{DBAFD837-AB88-4B53-8046-BAFEAFE6FB53}"/>
    <cellStyle name="Vírgula 3 2 2 4 2 3" xfId="404" xr:uid="{060126FC-E737-4003-ADCC-A83C22D8E5C3}"/>
    <cellStyle name="Vírgula 3 2 2 4 2 3 2" xfId="1102" xr:uid="{87DA5616-79F1-4F95-8C94-B995EFF555E9}"/>
    <cellStyle name="Vírgula 3 2 2 4 2 4" xfId="846" xr:uid="{AE796263-89F6-4780-A44B-29BB7669B133}"/>
    <cellStyle name="Vírgula 3 2 2 4 3" xfId="212" xr:uid="{315D6AC9-9C30-4C2B-A0C7-FBCC650F21BE}"/>
    <cellStyle name="Vírgula 3 2 2 4 3 2" xfId="468" xr:uid="{0D589789-803D-482E-9411-57F25EB0DAF1}"/>
    <cellStyle name="Vírgula 3 2 2 4 3 2 2" xfId="1166" xr:uid="{C779214F-E3BD-48FA-9D3F-EAB9022A5D6A}"/>
    <cellStyle name="Vírgula 3 2 2 4 3 3" xfId="910" xr:uid="{9B62B4DF-5475-475A-A836-91D0594C3555}"/>
    <cellStyle name="Vírgula 3 2 2 4 4" xfId="340" xr:uid="{354F25E2-0A4E-447B-A3E6-3A6854D0AC4C}"/>
    <cellStyle name="Vírgula 3 2 2 4 4 2" xfId="1038" xr:uid="{A4BBCA15-86EF-48C7-882A-08A5E233ABC6}"/>
    <cellStyle name="Vírgula 3 2 2 4 5" xfId="782" xr:uid="{7A280D14-E233-4798-9C3E-C61201E877A5}"/>
    <cellStyle name="Vírgula 3 2 2 5" xfId="116" xr:uid="{B4F40DEF-0790-4A76-A045-C1FBFC1C39C5}"/>
    <cellStyle name="Vírgula 3 2 2 5 2" xfId="244" xr:uid="{BE6502B0-0989-466B-80F0-7CD436D55255}"/>
    <cellStyle name="Vírgula 3 2 2 5 2 2" xfId="500" xr:uid="{FE54E3D6-2A1E-4571-8096-56FBF87696AE}"/>
    <cellStyle name="Vírgula 3 2 2 5 2 2 2" xfId="1198" xr:uid="{CD820777-AEF8-4C7F-81B4-BAC0F61F2ED9}"/>
    <cellStyle name="Vírgula 3 2 2 5 2 3" xfId="942" xr:uid="{3BCBDD23-C03D-4D35-B991-4FEEDE18EEF1}"/>
    <cellStyle name="Vírgula 3 2 2 5 3" xfId="372" xr:uid="{0F5AA96B-6D39-48B3-9409-3409C4BEBCBD}"/>
    <cellStyle name="Vírgula 3 2 2 5 3 2" xfId="1070" xr:uid="{17336D7C-1000-4885-B897-AE0647558AD0}"/>
    <cellStyle name="Vírgula 3 2 2 5 4" xfId="814" xr:uid="{4D531486-22BC-43B3-8939-1134758D90F0}"/>
    <cellStyle name="Vírgula 3 2 2 6" xfId="180" xr:uid="{ED36FF61-4A51-4EE0-9ACF-194B25016A51}"/>
    <cellStyle name="Vírgula 3 2 2 6 2" xfId="436" xr:uid="{4A23856F-761B-43DE-AE51-AA08E34B94B0}"/>
    <cellStyle name="Vírgula 3 2 2 6 2 2" xfId="1134" xr:uid="{D4B68B8B-CBB5-414B-874B-B2702E20E0EF}"/>
    <cellStyle name="Vírgula 3 2 2 6 3" xfId="878" xr:uid="{44C0989E-7902-4E0A-8017-EE71013DDD9B}"/>
    <cellStyle name="Vírgula 3 2 2 7" xfId="308" xr:uid="{7CD876B2-C189-4B81-BB0E-76057C6354C7}"/>
    <cellStyle name="Vírgula 3 2 2 7 2" xfId="1006" xr:uid="{310D869F-5905-4656-A4FC-DFED8FB03D40}"/>
    <cellStyle name="Vírgula 3 2 2 8" xfId="691" xr:uid="{F0213C78-8380-4DCB-AEA8-BA4790C80E94}"/>
    <cellStyle name="Vírgula 3 2 2 8 2" xfId="1299" xr:uid="{833185D9-B816-4A1D-9D52-27510930B95B}"/>
    <cellStyle name="Vírgula 3 2 2 9" xfId="727" xr:uid="{99CAA58C-3BE9-4223-BF88-2DA3EC07EE8E}"/>
    <cellStyle name="Vírgula 3 2 2 9 2" xfId="1330" xr:uid="{621355ED-B54D-41DD-A0DF-B292A9C2EC78}"/>
    <cellStyle name="Vírgula 3 2 3" xfId="56" xr:uid="{00000000-0005-0000-0000-00003B000000}"/>
    <cellStyle name="Vírgula 3 2 3 2" xfId="72" xr:uid="{076BB606-2CDC-4C31-883F-535AC61113F0}"/>
    <cellStyle name="Vírgula 3 2 3 2 2" xfId="104" xr:uid="{CCC50FD5-9FFE-4B82-8891-5F407F7D8049}"/>
    <cellStyle name="Vírgula 3 2 3 2 2 2" xfId="168" xr:uid="{3A80F12A-4692-4B77-ACD0-BF95BAC5EBF5}"/>
    <cellStyle name="Vírgula 3 2 3 2 2 2 2" xfId="296" xr:uid="{42CF4E7E-EF2B-40FA-9425-FB47B94B3CF8}"/>
    <cellStyle name="Vírgula 3 2 3 2 2 2 2 2" xfId="552" xr:uid="{0AEF73A9-5D99-4A0B-9FDC-E06AE9684140}"/>
    <cellStyle name="Vírgula 3 2 3 2 2 2 2 2 2" xfId="1250" xr:uid="{74AFC3F8-B968-433C-B134-DEC18AC4EE3A}"/>
    <cellStyle name="Vírgula 3 2 3 2 2 2 2 3" xfId="994" xr:uid="{E33A9242-52C6-439E-85FE-D4A386BD04EA}"/>
    <cellStyle name="Vírgula 3 2 3 2 2 2 3" xfId="424" xr:uid="{5BCA96EF-B942-42B4-A65F-23381128AC35}"/>
    <cellStyle name="Vírgula 3 2 3 2 2 2 3 2" xfId="1122" xr:uid="{B7ED9652-38D4-4BBB-975C-AA3920B56170}"/>
    <cellStyle name="Vírgula 3 2 3 2 2 2 4" xfId="866" xr:uid="{E676CB45-B958-42AF-8CBA-FCFC565ECFB9}"/>
    <cellStyle name="Vírgula 3 2 3 2 2 3" xfId="232" xr:uid="{1D68FD4D-BD23-49D7-9936-BEC976DFB64D}"/>
    <cellStyle name="Vírgula 3 2 3 2 2 3 2" xfId="488" xr:uid="{DF63347A-BE4E-40B6-8CAF-B43C81439B67}"/>
    <cellStyle name="Vírgula 3 2 3 2 2 3 2 2" xfId="1186" xr:uid="{9B4A7CEB-8655-4490-898A-8C5D85A3431B}"/>
    <cellStyle name="Vírgula 3 2 3 2 2 3 3" xfId="930" xr:uid="{7B8081CE-536B-413E-ABFC-46DCD60115DB}"/>
    <cellStyle name="Vírgula 3 2 3 2 2 4" xfId="360" xr:uid="{82C4C8D5-0BCD-4CF7-8C9B-2F1B50628C1D}"/>
    <cellStyle name="Vírgula 3 2 3 2 2 4 2" xfId="1058" xr:uid="{99430866-C09F-4C97-BE21-7ADCA805DABB}"/>
    <cellStyle name="Vírgula 3 2 3 2 2 5" xfId="802" xr:uid="{B856B1F2-2837-4710-8438-928AFDF44E35}"/>
    <cellStyle name="Vírgula 3 2 3 2 3" xfId="136" xr:uid="{F996E36B-65DD-473A-A17B-123EF27989E7}"/>
    <cellStyle name="Vírgula 3 2 3 2 3 2" xfId="264" xr:uid="{A4DA9D3F-9267-4FBF-AB25-C1C6914B751E}"/>
    <cellStyle name="Vírgula 3 2 3 2 3 2 2" xfId="520" xr:uid="{18DAE0EF-D1DE-4BCA-BBF4-71AC39D64D2B}"/>
    <cellStyle name="Vírgula 3 2 3 2 3 2 2 2" xfId="1218" xr:uid="{B23F2137-DCD0-4924-BA17-4094083E3008}"/>
    <cellStyle name="Vírgula 3 2 3 2 3 2 3" xfId="962" xr:uid="{89F29449-4C03-4116-82E1-EB0BFA04E18C}"/>
    <cellStyle name="Vírgula 3 2 3 2 3 3" xfId="392" xr:uid="{61B6FC22-1655-4648-AB4C-72BCE073A3EA}"/>
    <cellStyle name="Vírgula 3 2 3 2 3 3 2" xfId="1090" xr:uid="{9C2A85CD-65E8-4460-B634-A3A1A723E948}"/>
    <cellStyle name="Vírgula 3 2 3 2 3 4" xfId="834" xr:uid="{B3EF6131-B5CF-4F50-B425-67EECA13759C}"/>
    <cellStyle name="Vírgula 3 2 3 2 4" xfId="200" xr:uid="{EE110A49-EF4A-4195-AB61-56FD0A429B9F}"/>
    <cellStyle name="Vírgula 3 2 3 2 4 2" xfId="456" xr:uid="{CCCF090F-22D2-4D35-A41A-5FE546BBB83F}"/>
    <cellStyle name="Vírgula 3 2 3 2 4 2 2" xfId="1154" xr:uid="{30FBF658-BE09-43E6-9677-14A05EE7400C}"/>
    <cellStyle name="Vírgula 3 2 3 2 4 3" xfId="898" xr:uid="{0F65E55A-06BC-4243-9AAC-F8013A5FF426}"/>
    <cellStyle name="Vírgula 3 2 3 2 5" xfId="328" xr:uid="{51C32364-689E-459C-B117-4435D0E4EF5C}"/>
    <cellStyle name="Vírgula 3 2 3 2 5 2" xfId="1026" xr:uid="{6DC10B1C-63DB-4DFB-B603-89B77DB9A7D7}"/>
    <cellStyle name="Vírgula 3 2 3 2 6" xfId="770" xr:uid="{C299309F-2834-4635-AB6D-9A69F1DD3323}"/>
    <cellStyle name="Vírgula 3 2 3 3" xfId="88" xr:uid="{46F78EEC-9D4C-460C-B0F7-C81B17D9A3E7}"/>
    <cellStyle name="Vírgula 3 2 3 3 2" xfId="152" xr:uid="{BEE55F75-DEB2-4DF9-BEE2-9F27A7429941}"/>
    <cellStyle name="Vírgula 3 2 3 3 2 2" xfId="280" xr:uid="{23391545-D883-4572-AD98-CE605E292D07}"/>
    <cellStyle name="Vírgula 3 2 3 3 2 2 2" xfId="536" xr:uid="{83BAD874-1A63-481C-8596-A833C2534538}"/>
    <cellStyle name="Vírgula 3 2 3 3 2 2 2 2" xfId="1234" xr:uid="{DBB55DE6-43C1-4710-B15B-640E960EC833}"/>
    <cellStyle name="Vírgula 3 2 3 3 2 2 3" xfId="978" xr:uid="{A1080B2C-E9AF-4B89-835E-5F2A115A777C}"/>
    <cellStyle name="Vírgula 3 2 3 3 2 3" xfId="408" xr:uid="{176ADAAE-2E38-4AD5-8F65-9D60068DFD44}"/>
    <cellStyle name="Vírgula 3 2 3 3 2 3 2" xfId="1106" xr:uid="{41678C65-5627-40E6-956D-55183C33071C}"/>
    <cellStyle name="Vírgula 3 2 3 3 2 4" xfId="850" xr:uid="{746BA4F5-613F-4611-94F5-6AB341D950D4}"/>
    <cellStyle name="Vírgula 3 2 3 3 3" xfId="216" xr:uid="{A72F06CB-EC5C-4EDB-811F-223CC7F66A96}"/>
    <cellStyle name="Vírgula 3 2 3 3 3 2" xfId="472" xr:uid="{0FD66BC5-2294-48BC-BADC-6F0C06F48232}"/>
    <cellStyle name="Vírgula 3 2 3 3 3 2 2" xfId="1170" xr:uid="{E40A28FE-6E9D-4484-9358-E8AFC3C62B3F}"/>
    <cellStyle name="Vírgula 3 2 3 3 3 3" xfId="914" xr:uid="{9CE62E47-9A07-4490-A864-1483283D22D5}"/>
    <cellStyle name="Vírgula 3 2 3 3 4" xfId="344" xr:uid="{A1646C60-653F-4949-B219-C4DD8912DFE3}"/>
    <cellStyle name="Vírgula 3 2 3 3 4 2" xfId="1042" xr:uid="{E9C78180-457B-49F9-966C-A86222542652}"/>
    <cellStyle name="Vírgula 3 2 3 3 5" xfId="786" xr:uid="{AE752104-8908-4B45-94D4-9BEBBDE2C037}"/>
    <cellStyle name="Vírgula 3 2 3 4" xfId="120" xr:uid="{933331F8-48C6-4CFB-91FF-B1A1A34B2D7F}"/>
    <cellStyle name="Vírgula 3 2 3 4 2" xfId="248" xr:uid="{178E694C-7B36-4535-BB86-CB8877E62881}"/>
    <cellStyle name="Vírgula 3 2 3 4 2 2" xfId="504" xr:uid="{7785710B-F586-40FF-A300-350495E2953E}"/>
    <cellStyle name="Vírgula 3 2 3 4 2 2 2" xfId="1202" xr:uid="{7C87D5A9-EA5B-43D8-B4D6-C3B543C4E58B}"/>
    <cellStyle name="Vírgula 3 2 3 4 2 3" xfId="946" xr:uid="{C1AB4BA7-5A7F-4F42-9FEE-1F8158C27F7B}"/>
    <cellStyle name="Vírgula 3 2 3 4 3" xfId="376" xr:uid="{4AF57346-FAA9-47FA-AF37-C73C3488DE91}"/>
    <cellStyle name="Vírgula 3 2 3 4 3 2" xfId="1074" xr:uid="{50693FE4-D2EB-4132-8B3B-8CC7E973DB44}"/>
    <cellStyle name="Vírgula 3 2 3 4 4" xfId="818" xr:uid="{9287F968-5FC9-4049-86C2-E3F75FD3DBE6}"/>
    <cellStyle name="Vírgula 3 2 3 5" xfId="184" xr:uid="{B04EF767-FC6B-4F8A-A30F-874081C0FFA1}"/>
    <cellStyle name="Vírgula 3 2 3 5 2" xfId="440" xr:uid="{4B41447E-9897-4EFC-9632-3641E6981839}"/>
    <cellStyle name="Vírgula 3 2 3 5 2 2" xfId="1138" xr:uid="{E5F09D44-FF67-4397-8C85-8F9701B37E2D}"/>
    <cellStyle name="Vírgula 3 2 3 5 3" xfId="882" xr:uid="{88C59461-B157-40F4-B8AB-B1D71F57B410}"/>
    <cellStyle name="Vírgula 3 2 3 6" xfId="312" xr:uid="{020D7D3F-A500-4F69-ADF8-5DA583598A56}"/>
    <cellStyle name="Vírgula 3 2 3 6 2" xfId="1010" xr:uid="{EEA3E4DF-EC9E-44A9-A4F9-274743B496B7}"/>
    <cellStyle name="Vírgula 3 2 3 7" xfId="754" xr:uid="{53ABDD24-A2C6-4EC4-994E-C3B6E3115320}"/>
    <cellStyle name="Vírgula 3 2 4" xfId="64" xr:uid="{99548FD3-BFC0-4F8D-9C7D-D1EACEAD354E}"/>
    <cellStyle name="Vírgula 3 2 4 2" xfId="96" xr:uid="{A3B22085-91F8-4CA0-9F29-43F9EB966A51}"/>
    <cellStyle name="Vírgula 3 2 4 2 2" xfId="160" xr:uid="{D4024F1C-4F7D-4234-8A2D-1EF3784D806D}"/>
    <cellStyle name="Vírgula 3 2 4 2 2 2" xfId="288" xr:uid="{A50CA7F0-B2FA-4813-8FE9-BECD8E0A393A}"/>
    <cellStyle name="Vírgula 3 2 4 2 2 2 2" xfId="544" xr:uid="{48543F6C-ABF1-4DCA-8734-E608327408FE}"/>
    <cellStyle name="Vírgula 3 2 4 2 2 2 2 2" xfId="1242" xr:uid="{EA742A5A-FB5F-4712-8939-46BA6CB4308C}"/>
    <cellStyle name="Vírgula 3 2 4 2 2 2 3" xfId="986" xr:uid="{8C35D48E-3636-421C-9F9A-A8F22BB32851}"/>
    <cellStyle name="Vírgula 3 2 4 2 2 3" xfId="416" xr:uid="{6B8E3A85-3BEC-4CD5-9E7B-8DBB917FDC6A}"/>
    <cellStyle name="Vírgula 3 2 4 2 2 3 2" xfId="1114" xr:uid="{DCAE327B-EFF7-4F9C-88CC-9427C74829AA}"/>
    <cellStyle name="Vírgula 3 2 4 2 2 4" xfId="858" xr:uid="{60932767-8BC9-4AD7-9CCA-476B04F24BDF}"/>
    <cellStyle name="Vírgula 3 2 4 2 3" xfId="224" xr:uid="{6AEF2D5A-2C4F-4C42-8221-7999378B216E}"/>
    <cellStyle name="Vírgula 3 2 4 2 3 2" xfId="480" xr:uid="{0AE13E58-4906-4A20-B751-82B6FFD890CC}"/>
    <cellStyle name="Vírgula 3 2 4 2 3 2 2" xfId="1178" xr:uid="{5CEA68B7-0FF3-4355-8BA3-4E2ADA04AECF}"/>
    <cellStyle name="Vírgula 3 2 4 2 3 3" xfId="922" xr:uid="{0EF4BF3A-5416-455C-8B03-3F61B1EF96DD}"/>
    <cellStyle name="Vírgula 3 2 4 2 4" xfId="352" xr:uid="{31A99E5E-7A9B-4C6B-B129-435813514C10}"/>
    <cellStyle name="Vírgula 3 2 4 2 4 2" xfId="1050" xr:uid="{9FA04DFE-60BE-46CB-BB30-083B21842517}"/>
    <cellStyle name="Vírgula 3 2 4 2 5" xfId="794" xr:uid="{34CFD3B4-3A69-4BD6-808B-9651DAF52E9C}"/>
    <cellStyle name="Vírgula 3 2 4 3" xfId="128" xr:uid="{A50C5C69-6A32-4437-B19D-FC3196AAC143}"/>
    <cellStyle name="Vírgula 3 2 4 3 2" xfId="256" xr:uid="{DD4325A2-C6EC-4613-A95B-CB27294C7622}"/>
    <cellStyle name="Vírgula 3 2 4 3 2 2" xfId="512" xr:uid="{89391E4A-4592-4BB8-8F55-2357517FAB98}"/>
    <cellStyle name="Vírgula 3 2 4 3 2 2 2" xfId="1210" xr:uid="{361FF278-4437-45F1-B1DC-B919D38415F7}"/>
    <cellStyle name="Vírgula 3 2 4 3 2 3" xfId="954" xr:uid="{FA07C260-2C95-4154-AB22-7211D2516F3E}"/>
    <cellStyle name="Vírgula 3 2 4 3 3" xfId="384" xr:uid="{F57AA215-8C68-441A-9F30-3D07AFD42E0C}"/>
    <cellStyle name="Vírgula 3 2 4 3 3 2" xfId="1082" xr:uid="{69A4E441-CE0B-4CE3-A46A-C2E359A5CFB1}"/>
    <cellStyle name="Vírgula 3 2 4 3 4" xfId="826" xr:uid="{D8B76474-0E4D-45EA-A731-96F505698A5B}"/>
    <cellStyle name="Vírgula 3 2 4 4" xfId="192" xr:uid="{7A2E4AE2-3483-4703-832B-D552AF94C25A}"/>
    <cellStyle name="Vírgula 3 2 4 4 2" xfId="448" xr:uid="{FFA2F0DE-4E38-4E45-99B6-7B92519BE1D1}"/>
    <cellStyle name="Vírgula 3 2 4 4 2 2" xfId="1146" xr:uid="{7018691E-9908-41BF-9E51-0F4828BFDFB5}"/>
    <cellStyle name="Vírgula 3 2 4 4 3" xfId="890" xr:uid="{B312D9C4-67A7-4446-A2A6-37BB66D255E3}"/>
    <cellStyle name="Vírgula 3 2 4 5" xfId="320" xr:uid="{51D212F5-27EB-4536-BEF7-B711A686A112}"/>
    <cellStyle name="Vírgula 3 2 4 5 2" xfId="1018" xr:uid="{210FC5CF-97C3-4DD5-B9F5-3B14280F95CA}"/>
    <cellStyle name="Vírgula 3 2 4 6" xfId="762" xr:uid="{5F05ECE5-E194-477D-91C3-FD80A834D6E5}"/>
    <cellStyle name="Vírgula 3 2 5" xfId="80" xr:uid="{F26D77FB-8336-44B9-A50A-67AA37282408}"/>
    <cellStyle name="Vírgula 3 2 5 2" xfId="144" xr:uid="{3D44370E-4534-463B-8F9A-DD37D8DB1DCD}"/>
    <cellStyle name="Vírgula 3 2 5 2 2" xfId="272" xr:uid="{3137D1AF-84E9-467F-8346-ADF9DEEE2D58}"/>
    <cellStyle name="Vírgula 3 2 5 2 2 2" xfId="528" xr:uid="{B98C7CDD-740F-40BF-B77F-0D48DFD354A2}"/>
    <cellStyle name="Vírgula 3 2 5 2 2 2 2" xfId="1226" xr:uid="{630F8EB7-C413-4EBD-BCAC-D2AACEFF8ADD}"/>
    <cellStyle name="Vírgula 3 2 5 2 2 3" xfId="970" xr:uid="{85E3896C-42C3-4347-8FC4-011741C4877D}"/>
    <cellStyle name="Vírgula 3 2 5 2 3" xfId="400" xr:uid="{9FEF1229-78DE-49F9-9096-855F54FB67CC}"/>
    <cellStyle name="Vírgula 3 2 5 2 3 2" xfId="1098" xr:uid="{43284B47-02ED-48CA-95D3-C1B1467B8A2E}"/>
    <cellStyle name="Vírgula 3 2 5 2 4" xfId="842" xr:uid="{D7F924E5-24DD-4923-AE9F-A53A8590DA16}"/>
    <cellStyle name="Vírgula 3 2 5 3" xfId="208" xr:uid="{98149FAC-3A7E-4BC8-90FA-5EB3F190C5DF}"/>
    <cellStyle name="Vírgula 3 2 5 3 2" xfId="464" xr:uid="{75C05689-ED2A-4C66-96B2-2494839D1511}"/>
    <cellStyle name="Vírgula 3 2 5 3 2 2" xfId="1162" xr:uid="{802BE23F-9675-4F26-8EE8-1AED67DEF8A4}"/>
    <cellStyle name="Vírgula 3 2 5 3 3" xfId="906" xr:uid="{B79F6EE2-6399-41DF-9F1C-78AC5A42F9E6}"/>
    <cellStyle name="Vírgula 3 2 5 4" xfId="336" xr:uid="{A6C4209D-469A-48C2-B578-F05BC7A1BFCA}"/>
    <cellStyle name="Vírgula 3 2 5 4 2" xfId="1034" xr:uid="{136B0EAD-3AB2-4647-A7C4-38AB3273A94E}"/>
    <cellStyle name="Vírgula 3 2 5 5" xfId="778" xr:uid="{1FB1FEF4-D36F-4337-99C1-80B4FF7E2972}"/>
    <cellStyle name="Vírgula 3 2 6" xfId="112" xr:uid="{AA667DB0-8291-4389-B37D-17E3C22358EF}"/>
    <cellStyle name="Vírgula 3 2 6 2" xfId="240" xr:uid="{CEFDD3AD-8A4C-4D74-9630-12C5268EB016}"/>
    <cellStyle name="Vírgula 3 2 6 2 2" xfId="496" xr:uid="{16343CB0-9002-4BE7-9289-BDF03A2871CA}"/>
    <cellStyle name="Vírgula 3 2 6 2 2 2" xfId="1194" xr:uid="{50E30F98-45D7-47E9-A81A-0260FDD5EC47}"/>
    <cellStyle name="Vírgula 3 2 6 2 3" xfId="938" xr:uid="{D96B16C2-4973-48DE-BB12-E2DC06792D0B}"/>
    <cellStyle name="Vírgula 3 2 6 3" xfId="368" xr:uid="{BE3E0B94-2FA0-44CB-9D77-3436EAA227D1}"/>
    <cellStyle name="Vírgula 3 2 6 3 2" xfId="1066" xr:uid="{87982218-C222-424A-956A-5A6B0395A3F9}"/>
    <cellStyle name="Vírgula 3 2 6 4" xfId="810" xr:uid="{330E3037-3E8D-4045-8A4C-803C9440407A}"/>
    <cellStyle name="Vírgula 3 2 7" xfId="176" xr:uid="{BB1F634D-6217-4654-9710-64616505BF60}"/>
    <cellStyle name="Vírgula 3 2 7 2" xfId="432" xr:uid="{CF090CEF-FA26-4590-A60E-D8E87FD6ED97}"/>
    <cellStyle name="Vírgula 3 2 7 2 2" xfId="1130" xr:uid="{75E86023-52DF-40ED-88CF-FA64A1B4BF9A}"/>
    <cellStyle name="Vírgula 3 2 7 3" xfId="874" xr:uid="{FFE2B8A8-A515-47E5-B5AE-716D87217E4E}"/>
    <cellStyle name="Vírgula 3 2 8" xfId="304" xr:uid="{5EC76F6F-3223-4C38-B8A8-F65B48006B56}"/>
    <cellStyle name="Vírgula 3 2 8 2" xfId="1002" xr:uid="{C03BCD55-5DAC-4C64-889C-72DAAA2C0BBE}"/>
    <cellStyle name="Vírgula 3 2 9" xfId="625" xr:uid="{AE14D352-20D4-49B6-AB34-D713183DF5E4}"/>
    <cellStyle name="Vírgula 3 2 9 2" xfId="1275" xr:uid="{C89949CD-8896-4079-B16B-55A8F3B6BC7E}"/>
    <cellStyle name="Vírgula 3 3" xfId="50" xr:uid="{00000000-0005-0000-0000-00003C000000}"/>
    <cellStyle name="Vírgula 3 3 2" xfId="58" xr:uid="{00000000-0005-0000-0000-00003D000000}"/>
    <cellStyle name="Vírgula 3 3 2 2" xfId="74" xr:uid="{2E7923A2-15CD-4FC8-9B19-84B9C46B0EA0}"/>
    <cellStyle name="Vírgula 3 3 2 2 2" xfId="106" xr:uid="{80497D0E-29DE-48D9-9DB9-78D27741E929}"/>
    <cellStyle name="Vírgula 3 3 2 2 2 2" xfId="170" xr:uid="{992E42A7-DF70-446E-82C4-98A82B8D18A9}"/>
    <cellStyle name="Vírgula 3 3 2 2 2 2 2" xfId="298" xr:uid="{4D1B5C34-3CD4-4644-B5FB-4468FCFA64F4}"/>
    <cellStyle name="Vírgula 3 3 2 2 2 2 2 2" xfId="554" xr:uid="{6A457F32-9DE7-48A4-BBC4-1805D8CA205D}"/>
    <cellStyle name="Vírgula 3 3 2 2 2 2 2 2 2" xfId="1252" xr:uid="{8EC06289-AAC6-4AF7-AB54-E9E44B772F47}"/>
    <cellStyle name="Vírgula 3 3 2 2 2 2 2 3" xfId="996" xr:uid="{1966462C-FEA1-49B2-941A-FAE0E741067A}"/>
    <cellStyle name="Vírgula 3 3 2 2 2 2 3" xfId="426" xr:uid="{26ECC1BD-E63F-434A-B587-E92A7B4D7E2A}"/>
    <cellStyle name="Vírgula 3 3 2 2 2 2 3 2" xfId="1124" xr:uid="{72C7C193-FBC5-4255-BD23-0B80D12558A9}"/>
    <cellStyle name="Vírgula 3 3 2 2 2 2 4" xfId="868" xr:uid="{7F2ED2F8-0C4C-4633-8B5E-5B97554A3F67}"/>
    <cellStyle name="Vírgula 3 3 2 2 2 3" xfId="234" xr:uid="{10055CA0-B7CB-416E-94CE-BC6991B2A5B4}"/>
    <cellStyle name="Vírgula 3 3 2 2 2 3 2" xfId="490" xr:uid="{47F8B995-876A-4CDC-93DE-6E0A67E11484}"/>
    <cellStyle name="Vírgula 3 3 2 2 2 3 2 2" xfId="1188" xr:uid="{F297F095-6BE9-4280-93CF-60A9C558F161}"/>
    <cellStyle name="Vírgula 3 3 2 2 2 3 3" xfId="932" xr:uid="{96502BD4-DE6B-483C-A585-C373791CE9F3}"/>
    <cellStyle name="Vírgula 3 3 2 2 2 4" xfId="362" xr:uid="{41B986D3-9F77-426B-B139-9A6718CDD448}"/>
    <cellStyle name="Vírgula 3 3 2 2 2 4 2" xfId="1060" xr:uid="{83203E65-D0BF-4739-8961-1F6BD3BC0223}"/>
    <cellStyle name="Vírgula 3 3 2 2 2 5" xfId="804" xr:uid="{F6804817-F468-4DFE-9DE9-70014AD2D83A}"/>
    <cellStyle name="Vírgula 3 3 2 2 3" xfId="138" xr:uid="{B393EC39-AE79-4EB7-9ECA-901C148036FC}"/>
    <cellStyle name="Vírgula 3 3 2 2 3 2" xfId="266" xr:uid="{2241474A-BAB2-4F40-9B20-5DF3129A8402}"/>
    <cellStyle name="Vírgula 3 3 2 2 3 2 2" xfId="522" xr:uid="{9043E667-216F-4D09-8AF7-F037833FB116}"/>
    <cellStyle name="Vírgula 3 3 2 2 3 2 2 2" xfId="1220" xr:uid="{F39F7ED1-2A8C-4CF8-AAEF-C8048B4A20C4}"/>
    <cellStyle name="Vírgula 3 3 2 2 3 2 3" xfId="964" xr:uid="{485795C5-23AC-44C3-B793-61B0ABCAB0D2}"/>
    <cellStyle name="Vírgula 3 3 2 2 3 3" xfId="394" xr:uid="{117110B1-E6F4-4F9B-8DB0-CB3564470E4A}"/>
    <cellStyle name="Vírgula 3 3 2 2 3 3 2" xfId="1092" xr:uid="{237FB3A2-D326-45DD-8D1A-CE9208D01193}"/>
    <cellStyle name="Vírgula 3 3 2 2 3 4" xfId="836" xr:uid="{FCA5442B-ED8D-46D7-B29C-BBF569F53063}"/>
    <cellStyle name="Vírgula 3 3 2 2 4" xfId="202" xr:uid="{63FC5590-C253-402C-B17B-D90C76C95E90}"/>
    <cellStyle name="Vírgula 3 3 2 2 4 2" xfId="458" xr:uid="{AE06AA2C-E8B4-4C6D-9535-CB7347E008D1}"/>
    <cellStyle name="Vírgula 3 3 2 2 4 2 2" xfId="1156" xr:uid="{B8A0759E-40C6-4CDD-992C-2F776297DF58}"/>
    <cellStyle name="Vírgula 3 3 2 2 4 3" xfId="900" xr:uid="{258DCAC7-CF39-4071-8BB3-7BE5D86401E1}"/>
    <cellStyle name="Vírgula 3 3 2 2 5" xfId="330" xr:uid="{63F95D1D-8D8E-49A3-88AE-92F7CCCC8F6C}"/>
    <cellStyle name="Vírgula 3 3 2 2 5 2" xfId="1028" xr:uid="{921E8F94-87D1-41E4-94AB-6854B1E3EF72}"/>
    <cellStyle name="Vírgula 3 3 2 2 6" xfId="772" xr:uid="{6ED7C16B-8CE5-4703-8F46-427C86AE4A35}"/>
    <cellStyle name="Vírgula 3 3 2 3" xfId="90" xr:uid="{66278508-8C3B-4FE5-94C5-1617F4A1F619}"/>
    <cellStyle name="Vírgula 3 3 2 3 2" xfId="154" xr:uid="{C245FB50-26EC-49C3-B015-BAB86754F8CD}"/>
    <cellStyle name="Vírgula 3 3 2 3 2 2" xfId="282" xr:uid="{7C597705-15FE-4F79-A99A-EE626B21C9AE}"/>
    <cellStyle name="Vírgula 3 3 2 3 2 2 2" xfId="538" xr:uid="{6091B81E-3BFC-4F31-AE78-057FDE318D99}"/>
    <cellStyle name="Vírgula 3 3 2 3 2 2 2 2" xfId="1236" xr:uid="{4223ABF4-BE96-4FB4-A376-8403D7F7BDDB}"/>
    <cellStyle name="Vírgula 3 3 2 3 2 2 3" xfId="980" xr:uid="{CC1981CB-56FB-4E13-8147-D592ABC7606D}"/>
    <cellStyle name="Vírgula 3 3 2 3 2 3" xfId="410" xr:uid="{06C8C4A7-4270-40E1-94B3-6A6EBB2BCD48}"/>
    <cellStyle name="Vírgula 3 3 2 3 2 3 2" xfId="1108" xr:uid="{DD687996-5D7C-478C-B2EB-8BE62002462D}"/>
    <cellStyle name="Vírgula 3 3 2 3 2 4" xfId="852" xr:uid="{9AE5E3CE-4BF8-4EF1-8FE7-3513E2C14FFB}"/>
    <cellStyle name="Vírgula 3 3 2 3 3" xfId="218" xr:uid="{F2511ABC-4FE9-4A8F-8F7E-CE1BE8A48313}"/>
    <cellStyle name="Vírgula 3 3 2 3 3 2" xfId="474" xr:uid="{2F7296B7-9D3A-4A30-93BA-AA0992865F3B}"/>
    <cellStyle name="Vírgula 3 3 2 3 3 2 2" xfId="1172" xr:uid="{A059B0EA-6A52-4215-8519-C7012039CFD4}"/>
    <cellStyle name="Vírgula 3 3 2 3 3 3" xfId="916" xr:uid="{14AEEDB2-4A79-473E-97A3-AD36D1D6E1FB}"/>
    <cellStyle name="Vírgula 3 3 2 3 4" xfId="346" xr:uid="{C98E02D6-75D5-47E1-A59C-EA3242DB347F}"/>
    <cellStyle name="Vírgula 3 3 2 3 4 2" xfId="1044" xr:uid="{96647915-6098-4ACE-9C5A-E56B6B963EC8}"/>
    <cellStyle name="Vírgula 3 3 2 3 5" xfId="788" xr:uid="{97141256-F8CA-454D-9E4F-0EDEEABA6C1E}"/>
    <cellStyle name="Vírgula 3 3 2 4" xfId="122" xr:uid="{E7BD921D-65B8-4EAF-9159-74C96054475D}"/>
    <cellStyle name="Vírgula 3 3 2 4 2" xfId="250" xr:uid="{8A709A78-2044-4ABF-A8AF-EF15500DB4E1}"/>
    <cellStyle name="Vírgula 3 3 2 4 2 2" xfId="506" xr:uid="{ABBB60F4-19FA-4304-ACF5-6B31D8E2AAD7}"/>
    <cellStyle name="Vírgula 3 3 2 4 2 2 2" xfId="1204" xr:uid="{9CA3400F-B793-40E9-8287-6021BFB7722D}"/>
    <cellStyle name="Vírgula 3 3 2 4 2 3" xfId="948" xr:uid="{A31B4FAE-7E31-423D-B188-E9603063F9A0}"/>
    <cellStyle name="Vírgula 3 3 2 4 3" xfId="378" xr:uid="{35590E9A-855B-4C7F-917C-C1448CFCC325}"/>
    <cellStyle name="Vírgula 3 3 2 4 3 2" xfId="1076" xr:uid="{FCD14EDD-35EF-47AF-8164-2D8990D3F926}"/>
    <cellStyle name="Vírgula 3 3 2 4 4" xfId="820" xr:uid="{3E740D24-9A72-49E0-AE3B-537431CA31FF}"/>
    <cellStyle name="Vírgula 3 3 2 5" xfId="186" xr:uid="{4E9324B9-A1C2-4A2F-B04C-F0E3AF82CC59}"/>
    <cellStyle name="Vírgula 3 3 2 5 2" xfId="442" xr:uid="{F89441C1-CC22-4B14-82D7-B70863F9FB13}"/>
    <cellStyle name="Vírgula 3 3 2 5 2 2" xfId="1140" xr:uid="{BD96CDD8-1D56-44EA-AEF5-B605180372B5}"/>
    <cellStyle name="Vírgula 3 3 2 5 3" xfId="884" xr:uid="{E1DF281D-24A4-4570-8806-94600592BF66}"/>
    <cellStyle name="Vírgula 3 3 2 6" xfId="314" xr:uid="{9F78F246-E0A2-4AF3-AD9C-EFF6EE90E745}"/>
    <cellStyle name="Vírgula 3 3 2 6 2" xfId="1012" xr:uid="{5101C0A8-204D-4ACA-9FD1-C1854285AEEF}"/>
    <cellStyle name="Vírgula 3 3 2 7" xfId="686" xr:uid="{46302CF8-9DBC-4C44-9D6D-C7C69BAD06C9}"/>
    <cellStyle name="Vírgula 3 3 2 7 2" xfId="1294" xr:uid="{DDBCC9DA-5244-454A-8E84-7C24EFDEBB03}"/>
    <cellStyle name="Vírgula 3 3 2 8" xfId="722" xr:uid="{BB6AFD25-F29F-4692-8768-C53DCBB5C78C}"/>
    <cellStyle name="Vírgula 3 3 2 8 2" xfId="1325" xr:uid="{47D88CE8-5AFF-4517-969A-69CCAA097BA8}"/>
    <cellStyle name="Vírgula 3 3 2 9" xfId="756" xr:uid="{CA5EFA7E-A1B0-4D9D-94B2-0E0ED687FE5B}"/>
    <cellStyle name="Vírgula 3 3 3" xfId="66" xr:uid="{B396AE82-AF26-4B8C-879C-97A83E5F454B}"/>
    <cellStyle name="Vírgula 3 3 3 2" xfId="98" xr:uid="{F9D63BEE-5680-4247-B58F-6A3A2780EEA7}"/>
    <cellStyle name="Vírgula 3 3 3 2 2" xfId="162" xr:uid="{D90F0B95-9DA0-461C-B056-7F58ADFC814E}"/>
    <cellStyle name="Vírgula 3 3 3 2 2 2" xfId="290" xr:uid="{E06A6211-F597-41CD-85DB-500A3EAECFE0}"/>
    <cellStyle name="Vírgula 3 3 3 2 2 2 2" xfId="546" xr:uid="{CA1FEF19-A2A3-4C56-8A0C-54BAC2CA2A6B}"/>
    <cellStyle name="Vírgula 3 3 3 2 2 2 2 2" xfId="1244" xr:uid="{AE4A96DD-7F5F-4D9C-9213-ED9DE1DFB38D}"/>
    <cellStyle name="Vírgula 3 3 3 2 2 2 3" xfId="988" xr:uid="{358B0BED-60CF-4392-A9DF-56F4CCE08B24}"/>
    <cellStyle name="Vírgula 3 3 3 2 2 3" xfId="418" xr:uid="{0D6BC96D-F16A-4BC0-A3D7-8DD20EA2DD1A}"/>
    <cellStyle name="Vírgula 3 3 3 2 2 3 2" xfId="1116" xr:uid="{B4E7F431-3705-466F-AB4D-25C1584AB491}"/>
    <cellStyle name="Vírgula 3 3 3 2 2 4" xfId="860" xr:uid="{E11E70C2-489C-43AC-A908-739B329D6C5B}"/>
    <cellStyle name="Vírgula 3 3 3 2 3" xfId="226" xr:uid="{F0F82C91-DB09-4C8A-8B61-72891C427693}"/>
    <cellStyle name="Vírgula 3 3 3 2 3 2" xfId="482" xr:uid="{54BAFF16-8ADC-4CD9-ABBF-824ABF6894C2}"/>
    <cellStyle name="Vírgula 3 3 3 2 3 2 2" xfId="1180" xr:uid="{BBF292A7-C74F-4500-B384-4D90DB9B2E94}"/>
    <cellStyle name="Vírgula 3 3 3 2 3 3" xfId="924" xr:uid="{0C70C8AC-DAB6-4534-9A52-0CF31C9A811C}"/>
    <cellStyle name="Vírgula 3 3 3 2 4" xfId="354" xr:uid="{F1543E9A-1BA5-4BEE-83F5-FF03E28327FA}"/>
    <cellStyle name="Vírgula 3 3 3 2 4 2" xfId="1052" xr:uid="{69666C48-8709-4508-848E-1133AAD98447}"/>
    <cellStyle name="Vírgula 3 3 3 2 5" xfId="796" xr:uid="{3F1C0762-3C78-4308-B294-DBF735FD4C1C}"/>
    <cellStyle name="Vírgula 3 3 3 3" xfId="130" xr:uid="{1E270461-AEE7-419A-982A-134360FDED64}"/>
    <cellStyle name="Vírgula 3 3 3 3 2" xfId="258" xr:uid="{0D07F0B6-6FE2-4CAF-B7AC-A6B6531C1319}"/>
    <cellStyle name="Vírgula 3 3 3 3 2 2" xfId="514" xr:uid="{F292F9C4-859A-4A0E-A263-AE3E975AA986}"/>
    <cellStyle name="Vírgula 3 3 3 3 2 2 2" xfId="1212" xr:uid="{769F0BBC-2149-446D-A3BE-34DFC97AE4B0}"/>
    <cellStyle name="Vírgula 3 3 3 3 2 3" xfId="956" xr:uid="{A17B1FEE-B1E9-4414-AE7C-C61FEC539356}"/>
    <cellStyle name="Vírgula 3 3 3 3 3" xfId="386" xr:uid="{0914DB97-682C-4E86-94B5-41BC344F78C8}"/>
    <cellStyle name="Vírgula 3 3 3 3 3 2" xfId="1084" xr:uid="{4F31611B-3BED-4CD8-BB4D-04A4DDFBD433}"/>
    <cellStyle name="Vírgula 3 3 3 3 4" xfId="828" xr:uid="{C04AADC0-E477-4BA4-9BB4-0E21819C1A49}"/>
    <cellStyle name="Vírgula 3 3 3 4" xfId="194" xr:uid="{0CAB7188-E99E-4C72-8182-BC8B8D892239}"/>
    <cellStyle name="Vírgula 3 3 3 4 2" xfId="450" xr:uid="{615ED47C-661F-4009-8B49-4DE2FAAF3BFF}"/>
    <cellStyle name="Vírgula 3 3 3 4 2 2" xfId="1148" xr:uid="{0CE4E5B2-8D1F-4A87-BC1A-D1F58CA90637}"/>
    <cellStyle name="Vírgula 3 3 3 4 3" xfId="892" xr:uid="{AC82A4A4-0193-41C6-9040-B201A5867BF8}"/>
    <cellStyle name="Vírgula 3 3 3 5" xfId="322" xr:uid="{0BCB68F6-9B48-4190-A7FF-A61167AA7C0A}"/>
    <cellStyle name="Vírgula 3 3 3 5 2" xfId="1020" xr:uid="{E38146D8-CAFA-424C-8C99-92B5CAB871AA}"/>
    <cellStyle name="Vírgula 3 3 3 6" xfId="764" xr:uid="{2EFB957A-520F-466C-A2A5-84D3E279BA75}"/>
    <cellStyle name="Vírgula 3 3 4" xfId="82" xr:uid="{46481C5C-3390-411E-976F-01582145DBEA}"/>
    <cellStyle name="Vírgula 3 3 4 2" xfId="146" xr:uid="{76914B1D-4243-4D22-9148-6DBD1917EEB8}"/>
    <cellStyle name="Vírgula 3 3 4 2 2" xfId="274" xr:uid="{3A2A8790-EF2F-443F-A6B9-0E879B5FDB80}"/>
    <cellStyle name="Vírgula 3 3 4 2 2 2" xfId="530" xr:uid="{CC99DE76-AAC7-40CF-BDCA-BE81012878EC}"/>
    <cellStyle name="Vírgula 3 3 4 2 2 2 2" xfId="1228" xr:uid="{12E8519E-0D77-4C3A-A6BE-290C0DCA13EE}"/>
    <cellStyle name="Vírgula 3 3 4 2 2 3" xfId="972" xr:uid="{6CD701C2-5359-4FCD-9162-ECCE645FE243}"/>
    <cellStyle name="Vírgula 3 3 4 2 3" xfId="402" xr:uid="{A357593D-9324-48A0-BF00-4C75D9FAE4D5}"/>
    <cellStyle name="Vírgula 3 3 4 2 3 2" xfId="1100" xr:uid="{1F6AB47C-797F-4080-AA6A-C741201F20B1}"/>
    <cellStyle name="Vírgula 3 3 4 2 4" xfId="844" xr:uid="{8CA46A36-6F3F-4DA2-A345-4A9BA106A6B2}"/>
    <cellStyle name="Vírgula 3 3 4 3" xfId="210" xr:uid="{721DE43B-B117-48D3-BA37-38AE55A2491F}"/>
    <cellStyle name="Vírgula 3 3 4 3 2" xfId="466" xr:uid="{7BF36E11-603B-4417-9401-C049A9D24708}"/>
    <cellStyle name="Vírgula 3 3 4 3 2 2" xfId="1164" xr:uid="{75942661-F58C-453B-AF80-FD9C0A694992}"/>
    <cellStyle name="Vírgula 3 3 4 3 3" xfId="908" xr:uid="{FEC10A07-D233-47D6-81D1-6410085B4C7D}"/>
    <cellStyle name="Vírgula 3 3 4 4" xfId="338" xr:uid="{4FB5E5B6-7A09-4874-BB18-CCD461B96045}"/>
    <cellStyle name="Vírgula 3 3 4 4 2" xfId="1036" xr:uid="{0099F12F-EB44-41B1-9237-168ACCC2E139}"/>
    <cellStyle name="Vírgula 3 3 4 5" xfId="780" xr:uid="{B91457CA-187A-4A5A-9120-C666DD37917F}"/>
    <cellStyle name="Vírgula 3 3 5" xfId="114" xr:uid="{81BDE214-F3D0-43A7-A36D-6AC20A3251FA}"/>
    <cellStyle name="Vírgula 3 3 5 2" xfId="242" xr:uid="{572B69BF-AECC-4628-80E0-E661CFEC1FF8}"/>
    <cellStyle name="Vírgula 3 3 5 2 2" xfId="498" xr:uid="{0D002792-2305-4D21-9F27-8216C173469D}"/>
    <cellStyle name="Vírgula 3 3 5 2 2 2" xfId="1196" xr:uid="{B7074F5D-1473-4E5B-98C4-DE1A57088487}"/>
    <cellStyle name="Vírgula 3 3 5 2 3" xfId="940" xr:uid="{F44FAC7F-16B7-4ADE-B609-C31AD431C509}"/>
    <cellStyle name="Vírgula 3 3 5 3" xfId="370" xr:uid="{03AB456E-F479-490F-A022-D464E8707A11}"/>
    <cellStyle name="Vírgula 3 3 5 3 2" xfId="1068" xr:uid="{5349AA77-0190-4D91-8316-762773DAAE73}"/>
    <cellStyle name="Vírgula 3 3 5 4" xfId="812" xr:uid="{3CFB525F-D8DD-474D-98C4-423920E481E8}"/>
    <cellStyle name="Vírgula 3 3 6" xfId="178" xr:uid="{D87A2EEC-76E5-4BD4-B217-98699AEB447E}"/>
    <cellStyle name="Vírgula 3 3 6 2" xfId="434" xr:uid="{6AA949C1-3670-4497-8F70-3D3FE974639A}"/>
    <cellStyle name="Vírgula 3 3 6 2 2" xfId="1132" xr:uid="{B691E6C7-ED33-46E0-B40E-E79C000F0508}"/>
    <cellStyle name="Vírgula 3 3 6 3" xfId="876" xr:uid="{56B7173E-1526-40A4-8558-300DF35B5ABD}"/>
    <cellStyle name="Vírgula 3 3 7" xfId="306" xr:uid="{11412A9F-37F7-473B-A2CB-989353926CA1}"/>
    <cellStyle name="Vírgula 3 3 7 2" xfId="1004" xr:uid="{4A88D49A-2844-40B8-B0E3-43DAAAE64930}"/>
    <cellStyle name="Vírgula 3 3 8" xfId="615" xr:uid="{4F55F3F8-F981-4E2B-9250-26C7BA82D5D3}"/>
    <cellStyle name="Vírgula 3 3 8 2" xfId="1270" xr:uid="{973E040A-ADD4-4D39-886F-B6CFF1722764}"/>
    <cellStyle name="Vírgula 3 3 9" xfId="748" xr:uid="{51B2D048-CAE2-4804-9FD8-F9A477199598}"/>
    <cellStyle name="Vírgula 3 4" xfId="54" xr:uid="{00000000-0005-0000-0000-00003E000000}"/>
    <cellStyle name="Vírgula 3 4 2" xfId="70" xr:uid="{94BC2BD6-68AF-4C71-AB19-6A33C3C89AE5}"/>
    <cellStyle name="Vírgula 3 4 2 2" xfId="102" xr:uid="{8CACC020-880E-469C-AA61-EEC7D6E5158F}"/>
    <cellStyle name="Vírgula 3 4 2 2 2" xfId="166" xr:uid="{4617D5F4-C932-4D10-BBA8-35CF5E12BCA8}"/>
    <cellStyle name="Vírgula 3 4 2 2 2 2" xfId="294" xr:uid="{83CBF891-F07A-4A35-8896-E01229F4B073}"/>
    <cellStyle name="Vírgula 3 4 2 2 2 2 2" xfId="550" xr:uid="{F22E0F2D-90AF-4F17-A265-6B05987BCEA0}"/>
    <cellStyle name="Vírgula 3 4 2 2 2 2 2 2" xfId="1248" xr:uid="{30785008-5CD1-43D9-AA41-21656C571262}"/>
    <cellStyle name="Vírgula 3 4 2 2 2 2 3" xfId="992" xr:uid="{69A1535B-C548-4446-A82A-11C17690126F}"/>
    <cellStyle name="Vírgula 3 4 2 2 2 3" xfId="422" xr:uid="{AB1600CA-C855-4142-B6FD-EFA849AAF9D4}"/>
    <cellStyle name="Vírgula 3 4 2 2 2 3 2" xfId="1120" xr:uid="{7267988A-A375-4ADF-B5EF-D4FBD0915D50}"/>
    <cellStyle name="Vírgula 3 4 2 2 2 4" xfId="864" xr:uid="{5D095D53-E18C-40AA-9B86-0B33CA9879D8}"/>
    <cellStyle name="Vírgula 3 4 2 2 3" xfId="230" xr:uid="{5A1DFB6E-9BBB-4079-9618-4B91EDEA96A5}"/>
    <cellStyle name="Vírgula 3 4 2 2 3 2" xfId="486" xr:uid="{F774C7AF-80A5-4A9A-A261-9A16C61CA52C}"/>
    <cellStyle name="Vírgula 3 4 2 2 3 2 2" xfId="1184" xr:uid="{B5CE529D-1571-46D6-BE75-004FD0241CB1}"/>
    <cellStyle name="Vírgula 3 4 2 2 3 3" xfId="928" xr:uid="{E7DB51B1-0BDD-4ABC-B459-56CB547C727E}"/>
    <cellStyle name="Vírgula 3 4 2 2 4" xfId="358" xr:uid="{4F482BD2-4DAB-4E42-A440-5DC28CCBAB9D}"/>
    <cellStyle name="Vírgula 3 4 2 2 4 2" xfId="1056" xr:uid="{5C9A496D-47E0-4F33-8137-DC1F25857398}"/>
    <cellStyle name="Vírgula 3 4 2 2 5" xfId="800" xr:uid="{9A3E9DF9-1B46-4B4D-9E56-EB1D687AE848}"/>
    <cellStyle name="Vírgula 3 4 2 3" xfId="134" xr:uid="{40DB28C6-0417-4202-9491-F70C67E97BF6}"/>
    <cellStyle name="Vírgula 3 4 2 3 2" xfId="262" xr:uid="{A48C988F-5629-4B5E-9218-6A288B4C2C6D}"/>
    <cellStyle name="Vírgula 3 4 2 3 2 2" xfId="518" xr:uid="{DAAC3D0E-05B3-4EA1-8CB3-83A82D5FF741}"/>
    <cellStyle name="Vírgula 3 4 2 3 2 2 2" xfId="1216" xr:uid="{C40E4FCD-FBCA-4391-9D47-E6A3160D7B5F}"/>
    <cellStyle name="Vírgula 3 4 2 3 2 3" xfId="960" xr:uid="{EBF475F3-5D4F-4529-8127-36C6FD50E801}"/>
    <cellStyle name="Vírgula 3 4 2 3 3" xfId="390" xr:uid="{83476F2C-0A83-4A4F-A4A3-4BBB8779E8B8}"/>
    <cellStyle name="Vírgula 3 4 2 3 3 2" xfId="1088" xr:uid="{2F6A90C0-9C71-4862-A21B-38A41D5C973E}"/>
    <cellStyle name="Vírgula 3 4 2 3 4" xfId="832" xr:uid="{2F4524F3-D3A2-4F10-A35A-2321369C4073}"/>
    <cellStyle name="Vírgula 3 4 2 4" xfId="198" xr:uid="{64C3D6BD-42D3-4949-B8A4-4FC55F8335C4}"/>
    <cellStyle name="Vírgula 3 4 2 4 2" xfId="454" xr:uid="{F99DE180-3A80-4A28-9F75-A9176C13F80C}"/>
    <cellStyle name="Vírgula 3 4 2 4 2 2" xfId="1152" xr:uid="{E8CD212E-B3D4-41B4-9870-8D99E17B7773}"/>
    <cellStyle name="Vírgula 3 4 2 4 3" xfId="896" xr:uid="{B3BB995E-2C7C-4EBC-95DE-E7882C130CA0}"/>
    <cellStyle name="Vírgula 3 4 2 5" xfId="326" xr:uid="{8CEAC992-7D4F-4BB5-BB62-D209E307CB33}"/>
    <cellStyle name="Vírgula 3 4 2 5 2" xfId="1024" xr:uid="{BB8916AB-1C9B-4EB1-B819-D587C4817CC1}"/>
    <cellStyle name="Vírgula 3 4 2 6" xfId="768" xr:uid="{C30362F3-BE1F-4B76-8B21-6C1B35C90704}"/>
    <cellStyle name="Vírgula 3 4 3" xfId="86" xr:uid="{A9B4E9F1-84F7-46C8-9B67-AC64F378F84D}"/>
    <cellStyle name="Vírgula 3 4 3 2" xfId="150" xr:uid="{A97418F5-1813-4B13-8AAD-DA04032B8559}"/>
    <cellStyle name="Vírgula 3 4 3 2 2" xfId="278" xr:uid="{D600D5A9-B4AE-4599-9CA8-A0B07D10543B}"/>
    <cellStyle name="Vírgula 3 4 3 2 2 2" xfId="534" xr:uid="{B37DFAAF-6DA3-47BA-95AB-4E303DBE0EA0}"/>
    <cellStyle name="Vírgula 3 4 3 2 2 2 2" xfId="1232" xr:uid="{24DBD5B3-FA58-483C-990D-55F9E903BC58}"/>
    <cellStyle name="Vírgula 3 4 3 2 2 3" xfId="976" xr:uid="{36393D33-0F03-40EA-ACE0-DB33627E480B}"/>
    <cellStyle name="Vírgula 3 4 3 2 3" xfId="406" xr:uid="{F18CD5B8-670A-4EBC-B9F3-1CE67C30AD54}"/>
    <cellStyle name="Vírgula 3 4 3 2 3 2" xfId="1104" xr:uid="{1F10C9A7-738E-41A0-954F-195F32E7232B}"/>
    <cellStyle name="Vírgula 3 4 3 2 4" xfId="848" xr:uid="{14640CAF-0270-46B1-97D2-D99B6BBB679F}"/>
    <cellStyle name="Vírgula 3 4 3 3" xfId="214" xr:uid="{304AAB55-5307-4CD3-8E7D-0465F7F02F8E}"/>
    <cellStyle name="Vírgula 3 4 3 3 2" xfId="470" xr:uid="{00CFD4C7-314B-406C-93F9-6313E07435E5}"/>
    <cellStyle name="Vírgula 3 4 3 3 2 2" xfId="1168" xr:uid="{C6BA384E-ED34-4A38-9FA5-54C2415B06E2}"/>
    <cellStyle name="Vírgula 3 4 3 3 3" xfId="912" xr:uid="{4C2D89FE-5715-48C2-B49B-AE6DDDEA26A2}"/>
    <cellStyle name="Vírgula 3 4 3 4" xfId="342" xr:uid="{9619E2C9-AEE5-49F8-AABE-BA4B052BE7A4}"/>
    <cellStyle name="Vírgula 3 4 3 4 2" xfId="1040" xr:uid="{49579A1C-7984-4781-976B-51FE98CBBFA5}"/>
    <cellStyle name="Vírgula 3 4 3 5" xfId="784" xr:uid="{FF701662-3217-41FD-BE4D-0BA19146A507}"/>
    <cellStyle name="Vírgula 3 4 4" xfId="118" xr:uid="{C545586D-85FF-46BD-A84C-1B11CDC0F5A7}"/>
    <cellStyle name="Vírgula 3 4 4 2" xfId="246" xr:uid="{2E4A180C-EE9B-41F3-805F-4FC05C90D46A}"/>
    <cellStyle name="Vírgula 3 4 4 2 2" xfId="502" xr:uid="{55F033A7-437F-4A3F-85AE-523D2012325A}"/>
    <cellStyle name="Vírgula 3 4 4 2 2 2" xfId="1200" xr:uid="{24A0F403-5A5D-46DD-9614-3EBAE7621225}"/>
    <cellStyle name="Vírgula 3 4 4 2 3" xfId="944" xr:uid="{B08E9935-3469-46EB-94A3-E37655D6EF44}"/>
    <cellStyle name="Vírgula 3 4 4 3" xfId="374" xr:uid="{E009BE03-B6DC-4358-B25E-2D137F73E796}"/>
    <cellStyle name="Vírgula 3 4 4 3 2" xfId="1072" xr:uid="{177A64D2-047D-4279-BB5E-A50C04B32245}"/>
    <cellStyle name="Vírgula 3 4 4 4" xfId="816" xr:uid="{F55F70A8-39CC-4DC8-97B1-16435F0C64AB}"/>
    <cellStyle name="Vírgula 3 4 5" xfId="182" xr:uid="{66EFF902-5B2C-4B73-A664-89334F8C56C1}"/>
    <cellStyle name="Vírgula 3 4 5 2" xfId="438" xr:uid="{491E4D41-BF83-4758-97C0-E7EC6EAC4D47}"/>
    <cellStyle name="Vírgula 3 4 5 2 2" xfId="1136" xr:uid="{D89B9B10-7575-45F2-B2D5-5286DB9EC5D3}"/>
    <cellStyle name="Vírgula 3 4 5 3" xfId="880" xr:uid="{13590C6D-028D-4887-92D1-6C41C8FEDC82}"/>
    <cellStyle name="Vírgula 3 4 6" xfId="310" xr:uid="{95E685D9-2563-49AF-B5AE-C61413820101}"/>
    <cellStyle name="Vírgula 3 4 6 2" xfId="1008" xr:uid="{A6DFE517-ED9D-4E02-AE9C-369172D25E21}"/>
    <cellStyle name="Vírgula 3 4 7" xfId="666" xr:uid="{E5C3FA59-2353-40CD-BD94-2C087C1FBF91}"/>
    <cellStyle name="Vírgula 3 4 7 2" xfId="1283" xr:uid="{63FB8909-FA1B-4A14-9811-0756B76AB0DB}"/>
    <cellStyle name="Vírgula 3 4 8" xfId="711" xr:uid="{0518524B-89B4-46C8-BCC8-71F20EA1F234}"/>
    <cellStyle name="Vírgula 3 4 8 2" xfId="1314" xr:uid="{EAB073EE-234E-4B92-B2B7-A4217EE05B37}"/>
    <cellStyle name="Vírgula 3 4 9" xfId="752" xr:uid="{BC0EAE88-7F51-48C5-B1AD-C5219D97564E}"/>
    <cellStyle name="Vírgula 3 5" xfId="62" xr:uid="{A38D542C-68F6-4E9D-9134-544F2D67949F}"/>
    <cellStyle name="Vírgula 3 5 2" xfId="94" xr:uid="{B8A81EC1-E269-460E-8B08-65C6737B936B}"/>
    <cellStyle name="Vírgula 3 5 2 2" xfId="158" xr:uid="{E4447762-F8EA-4921-B8AF-1375D75B7B35}"/>
    <cellStyle name="Vírgula 3 5 2 2 2" xfId="286" xr:uid="{95E9A67D-0993-484D-97DD-0D3BE7CFE189}"/>
    <cellStyle name="Vírgula 3 5 2 2 2 2" xfId="542" xr:uid="{976EAFA7-D01C-4354-B280-7D2C05E6339E}"/>
    <cellStyle name="Vírgula 3 5 2 2 2 2 2" xfId="1240" xr:uid="{36EC9744-9722-4C01-8F39-DA907D7CCC59}"/>
    <cellStyle name="Vírgula 3 5 2 2 2 3" xfId="984" xr:uid="{C41969BD-69FC-4F33-920B-3C06CC6D3C45}"/>
    <cellStyle name="Vírgula 3 5 2 2 3" xfId="414" xr:uid="{6D34B5D3-3749-40A9-BEAD-7B94C0629343}"/>
    <cellStyle name="Vírgula 3 5 2 2 3 2" xfId="1112" xr:uid="{356FBFE3-1E71-41E7-99AA-583E0845119C}"/>
    <cellStyle name="Vírgula 3 5 2 2 4" xfId="856" xr:uid="{622EABC2-66F4-4B3D-9EB5-3A7F39CBBF33}"/>
    <cellStyle name="Vírgula 3 5 2 3" xfId="222" xr:uid="{4C7AC352-916E-4543-B51A-B7AAAAFB8647}"/>
    <cellStyle name="Vírgula 3 5 2 3 2" xfId="478" xr:uid="{B2A141E3-20C3-43B1-A577-860269176D2B}"/>
    <cellStyle name="Vírgula 3 5 2 3 2 2" xfId="1176" xr:uid="{55FC8016-2A8E-430F-8D71-FE7493C9725E}"/>
    <cellStyle name="Vírgula 3 5 2 3 3" xfId="920" xr:uid="{843A16EC-4379-4837-8B4B-1075D7A477BA}"/>
    <cellStyle name="Vírgula 3 5 2 4" xfId="350" xr:uid="{4FE2242E-B24A-4F2B-A1B8-8FB625906240}"/>
    <cellStyle name="Vírgula 3 5 2 4 2" xfId="1048" xr:uid="{B6612C0A-AA66-4796-9887-713AF8799630}"/>
    <cellStyle name="Vírgula 3 5 2 5" xfId="792" xr:uid="{91688071-1F28-4D13-9E4E-C60B2A4A51DD}"/>
    <cellStyle name="Vírgula 3 5 3" xfId="126" xr:uid="{41502630-A084-4D08-A301-7ED0F4BB4A49}"/>
    <cellStyle name="Vírgula 3 5 3 2" xfId="254" xr:uid="{59264D18-A90F-40A2-95C4-D70B359088EE}"/>
    <cellStyle name="Vírgula 3 5 3 2 2" xfId="510" xr:uid="{FC35D7D8-952B-4278-A95C-72B325A39FA8}"/>
    <cellStyle name="Vírgula 3 5 3 2 2 2" xfId="1208" xr:uid="{E30A095C-320F-4E8C-905E-AA0A445B540A}"/>
    <cellStyle name="Vírgula 3 5 3 2 3" xfId="952" xr:uid="{053B04B9-775D-4C90-A93C-85DEDB159F6C}"/>
    <cellStyle name="Vírgula 3 5 3 3" xfId="382" xr:uid="{A88D5208-5925-464D-B2BE-2D06069AFC8E}"/>
    <cellStyle name="Vírgula 3 5 3 3 2" xfId="1080" xr:uid="{92D81421-62E2-4510-89FD-046C1787A5B1}"/>
    <cellStyle name="Vírgula 3 5 3 4" xfId="824" xr:uid="{8941CC07-4D07-485A-A1B0-5BB04B097BEB}"/>
    <cellStyle name="Vírgula 3 5 4" xfId="190" xr:uid="{636F5D1A-8BF8-4D70-9611-6FE840333F26}"/>
    <cellStyle name="Vírgula 3 5 4 2" xfId="446" xr:uid="{CC319AFC-763F-4780-8444-8182393CE32D}"/>
    <cellStyle name="Vírgula 3 5 4 2 2" xfId="1144" xr:uid="{7B38A1E4-5836-4E60-BB1B-6BE0F28C35C9}"/>
    <cellStyle name="Vírgula 3 5 4 3" xfId="888" xr:uid="{CDFF6A12-15B6-4ABD-8972-A71A9903F77E}"/>
    <cellStyle name="Vírgula 3 5 5" xfId="318" xr:uid="{C509D3F1-4BF4-4810-9105-52793A9794FA}"/>
    <cellStyle name="Vírgula 3 5 5 2" xfId="1016" xr:uid="{285F2D59-A2FC-48E9-A8B8-BF073FE15179}"/>
    <cellStyle name="Vírgula 3 5 6" xfId="701" xr:uid="{216B9995-2A44-40A6-9CB2-0FA5EDAF3229}"/>
    <cellStyle name="Vírgula 3 5 6 2" xfId="1304" xr:uid="{79447E7D-89B2-4657-B2E8-BB14AA24A411}"/>
    <cellStyle name="Vírgula 3 5 7" xfId="760" xr:uid="{7F49FD35-9278-4DA7-877A-3C3B3BF83E14}"/>
    <cellStyle name="Vírgula 3 6" xfId="78" xr:uid="{CC5966D2-58DB-4EAB-B1B7-38601C3D8072}"/>
    <cellStyle name="Vírgula 3 6 2" xfId="142" xr:uid="{124D8EEB-984A-4629-B957-292BC5375CC3}"/>
    <cellStyle name="Vírgula 3 6 2 2" xfId="270" xr:uid="{A59D5534-826A-4E5B-84C6-9C514E4B6CF6}"/>
    <cellStyle name="Vírgula 3 6 2 2 2" xfId="526" xr:uid="{F748DF41-4959-4931-8F21-1AA6C11ADEEF}"/>
    <cellStyle name="Vírgula 3 6 2 2 2 2" xfId="1224" xr:uid="{E58527AC-0497-4130-ACC4-C627F82EC23E}"/>
    <cellStyle name="Vírgula 3 6 2 2 3" xfId="968" xr:uid="{716F23ED-C3E4-4D71-B459-F902276CB61D}"/>
    <cellStyle name="Vírgula 3 6 2 3" xfId="398" xr:uid="{8E28405A-FA08-4D6B-BFDA-B60EF0F835AD}"/>
    <cellStyle name="Vírgula 3 6 2 3 2" xfId="1096" xr:uid="{1F949816-F275-442D-98A8-478A82973B1D}"/>
    <cellStyle name="Vírgula 3 6 2 4" xfId="840" xr:uid="{FB5ABEA6-6DA1-40DB-BCF3-3D23D354F8B7}"/>
    <cellStyle name="Vírgula 3 6 3" xfId="206" xr:uid="{24CC4835-5DEB-41DB-B5C3-A4D918B7946A}"/>
    <cellStyle name="Vírgula 3 6 3 2" xfId="462" xr:uid="{0843647D-88F6-4984-85FA-FAA19863B205}"/>
    <cellStyle name="Vírgula 3 6 3 2 2" xfId="1160" xr:uid="{73B42F45-6AAD-4726-AF03-1E6DC0299E27}"/>
    <cellStyle name="Vírgula 3 6 3 3" xfId="904" xr:uid="{6EC9E36B-7A3B-482C-B10C-9500391F0FFD}"/>
    <cellStyle name="Vírgula 3 6 4" xfId="334" xr:uid="{142D9DBA-1AFE-4065-8685-72C61945007F}"/>
    <cellStyle name="Vírgula 3 6 4 2" xfId="1032" xr:uid="{4C0D0F7E-DAD1-4084-951D-03E35C2CF46B}"/>
    <cellStyle name="Vírgula 3 6 5" xfId="776" xr:uid="{56457886-8A26-4AAD-97B2-6FCB9A48B52F}"/>
    <cellStyle name="Vírgula 3 7" xfId="110" xr:uid="{636B8848-7DE7-4957-9619-660104BDDEEF}"/>
    <cellStyle name="Vírgula 3 7 2" xfId="238" xr:uid="{9CB27139-068F-4050-8954-F6E9314D550F}"/>
    <cellStyle name="Vírgula 3 7 2 2" xfId="494" xr:uid="{D5C758D1-3A77-475F-8115-1C1A2BB73FA3}"/>
    <cellStyle name="Vírgula 3 7 2 2 2" xfId="1192" xr:uid="{E5C1386F-9F87-4C80-A29F-D3EF1CBC6212}"/>
    <cellStyle name="Vírgula 3 7 2 3" xfId="936" xr:uid="{08EEFD86-BBBF-463A-95C3-D891D313E8CA}"/>
    <cellStyle name="Vírgula 3 7 3" xfId="366" xr:uid="{28B56FC4-1E2B-4A88-B2D7-32F1D99A03D8}"/>
    <cellStyle name="Vírgula 3 7 3 2" xfId="1064" xr:uid="{4C56A998-F825-4C9D-9FC2-352176D0C98C}"/>
    <cellStyle name="Vírgula 3 7 4" xfId="808" xr:uid="{26C7C811-BFC3-47E4-BD40-0B7B76243E57}"/>
    <cellStyle name="Vírgula 3 8" xfId="174" xr:uid="{37D61E18-F8AD-4E18-9764-60702F469083}"/>
    <cellStyle name="Vírgula 3 8 2" xfId="430" xr:uid="{DFDAB493-759C-48D2-A246-F47F6D7DF42E}"/>
    <cellStyle name="Vírgula 3 8 2 2" xfId="1128" xr:uid="{ECBBE325-3E4E-4AE9-9DDF-3A4B1BD36194}"/>
    <cellStyle name="Vírgula 3 8 3" xfId="872" xr:uid="{20F58A1C-F994-44C1-8339-3CC6555F5C92}"/>
    <cellStyle name="Vírgula 3 9" xfId="302" xr:uid="{8FB5CBFB-7F1F-46CA-A3A1-8B8B85BE1471}"/>
    <cellStyle name="Vírgula 3 9 2" xfId="1000" xr:uid="{317A5F66-F06B-443F-BBA1-76BF8AC8A911}"/>
    <cellStyle name="Vírgula 4" xfId="592" xr:uid="{C884CEFC-539B-4FDF-97D0-793C1AB8B1E0}"/>
    <cellStyle name="Vírgula 4 2" xfId="626" xr:uid="{910B218F-B644-40FC-8CB9-E4C05309861A}"/>
    <cellStyle name="Vírgula 4 2 2" xfId="692" xr:uid="{98DA9A43-2809-4194-903B-3F89EDBF5E61}"/>
    <cellStyle name="Vírgula 4 2 2 2" xfId="728" xr:uid="{860A86F1-7239-446F-835A-FC2F75DBCAC1}"/>
    <cellStyle name="Vírgula 4 2 2 2 2" xfId="1331" xr:uid="{BFAD64DF-C6A9-45B1-9000-6CD71ED26D3A}"/>
    <cellStyle name="Vírgula 4 2 2 3" xfId="1300" xr:uid="{EDD7F1D6-03C6-47A8-88A1-5BAACC2BE406}"/>
    <cellStyle name="Vírgula 4 2 3" xfId="1276" xr:uid="{6B999766-47EF-463F-9042-6BEF27768A05}"/>
    <cellStyle name="Vírgula 4 3" xfId="616" xr:uid="{4246EC84-EB4C-4488-8CD0-075F429F177F}"/>
    <cellStyle name="Vírgula 4 3 2" xfId="687" xr:uid="{AB0E29E0-F77A-4666-9CBA-BCB18A32A589}"/>
    <cellStyle name="Vírgula 4 3 2 2" xfId="723" xr:uid="{EF70C30F-D6D6-4025-B26D-DCBEB68DF07E}"/>
    <cellStyle name="Vírgula 4 3 2 2 2" xfId="1326" xr:uid="{E8211C92-7D98-4507-BD0C-415ADF653391}"/>
    <cellStyle name="Vírgula 4 3 2 3" xfId="1295" xr:uid="{3FE20BF5-5FC0-4FC2-822D-CAA2475E328A}"/>
    <cellStyle name="Vírgula 4 3 3" xfId="1271" xr:uid="{A642E148-AAC9-4996-BD49-417BFEBB0035}"/>
    <cellStyle name="Vírgula 4 4" xfId="667" xr:uid="{80907252-7B97-432C-9BEC-B243E72A5120}"/>
    <cellStyle name="Vírgula 4 4 2" xfId="712" xr:uid="{23BD05D5-0251-4F86-9C59-6CA5F4C6DC74}"/>
    <cellStyle name="Vírgula 4 4 2 2" xfId="1315" xr:uid="{3593CF5A-664D-4817-811E-566746191C3D}"/>
    <cellStyle name="Vírgula 4 4 3" xfId="1284" xr:uid="{9DFF78D9-E7E5-484A-A138-8D04DB28387C}"/>
    <cellStyle name="Vírgula 4 5" xfId="702" xr:uid="{944C1215-5013-4645-B95C-CC9F27FB0DD9}"/>
    <cellStyle name="Vírgula 4 5 2" xfId="1305" xr:uid="{F4011AB9-5BB9-4F79-822E-D8E89B5A6752}"/>
    <cellStyle name="Vírgula 4 6" xfId="1260" xr:uid="{66D39433-185B-4C72-9374-289B1522E2F8}"/>
    <cellStyle name="Vírgula 5" xfId="603" xr:uid="{294A43B9-742A-427A-9E40-B21042D28199}"/>
    <cellStyle name="Vírgula 5 2" xfId="628" xr:uid="{208FA63A-7014-404C-B162-08E5F9999610}"/>
    <cellStyle name="Vírgula 5 2 2" xfId="693" xr:uid="{19445044-F550-4398-BF0F-26BB21972565}"/>
    <cellStyle name="Vírgula 5 2 2 2" xfId="729" xr:uid="{24047349-2080-4C84-860B-5100A92D53DC}"/>
    <cellStyle name="Vírgula 5 2 2 2 2" xfId="1332" xr:uid="{ACF95A18-95B4-43B7-98C3-7EF96E98F726}"/>
    <cellStyle name="Vírgula 5 2 2 3" xfId="1301" xr:uid="{C5CB3208-325D-4780-A28D-AAEB3D9C1F14}"/>
    <cellStyle name="Vírgula 5 2 3" xfId="1277" xr:uid="{0B7572DA-D65B-4C1C-9833-BB20241B3DDF}"/>
    <cellStyle name="Vírgula 5 3" xfId="676" xr:uid="{7BB1EF54-10DC-437F-AFE4-05EE9FA680CE}"/>
    <cellStyle name="Vírgula 5 3 2" xfId="717" xr:uid="{CAA4FE4F-228D-437B-8BF7-9E7FE0DCD255}"/>
    <cellStyle name="Vírgula 5 3 2 2" xfId="1320" xr:uid="{83C81BD0-4DA1-415A-940D-8D52D3B7B5D6}"/>
    <cellStyle name="Vírgula 5 3 3" xfId="1289" xr:uid="{DB1FA0A7-724A-48FF-A074-147A335B3272}"/>
    <cellStyle name="Vírgula 5 4" xfId="703" xr:uid="{097CFCD0-5073-4D92-A97E-73D432B0E82D}"/>
    <cellStyle name="Vírgula 5 4 2" xfId="1306" xr:uid="{D959704E-040B-42E4-9DF2-4100EBE3A8CF}"/>
    <cellStyle name="Vírgula 5 5" xfId="1265" xr:uid="{897AB9D1-F802-4892-8C4C-F6BF53F09A16}"/>
    <cellStyle name="Vírgula 6" xfId="600" xr:uid="{B7C1FAC0-891B-4FC8-92AD-B94AAE363D5D}"/>
    <cellStyle name="Vírgula 6 2" xfId="674" xr:uid="{93D99712-16AB-49BB-AEE3-574D87EFA9DD}"/>
    <cellStyle name="Vírgula 6 2 2" xfId="715" xr:uid="{12A8C656-ED8D-4C83-AA1E-12DCF21EF0F5}"/>
    <cellStyle name="Vírgula 6 2 2 2" xfId="1318" xr:uid="{4F17E8B2-86BB-45EC-B68F-A73FC13E9A64}"/>
    <cellStyle name="Vírgula 6 2 3" xfId="1287" xr:uid="{4C022047-E671-4E37-88A6-E194DEF83617}"/>
    <cellStyle name="Vírgula 6 3" xfId="704" xr:uid="{0DB25E5F-A08A-4BAA-BD51-7CFB5997CC15}"/>
    <cellStyle name="Vírgula 6 3 2" xfId="1307" xr:uid="{0B5638B6-3CA6-4F11-A31E-7D022390B887}"/>
    <cellStyle name="Vírgula 6 4" xfId="1263" xr:uid="{2F4E9FE1-E569-4CB2-B974-50D58F0C4149}"/>
    <cellStyle name="Vírgula 7" xfId="607" xr:uid="{C711BB01-8262-41D8-BD9A-14B3E35036E9}"/>
    <cellStyle name="Vírgula 7 2" xfId="680" xr:uid="{B3AF2ED2-2A27-49A8-AA7E-9EEE8891D327}"/>
    <cellStyle name="Vírgula 7 2 2" xfId="718" xr:uid="{45469F5D-EB24-47B8-BB11-BA472D2A4C35}"/>
    <cellStyle name="Vírgula 7 2 2 2" xfId="1321" xr:uid="{47F25017-E184-43B7-ACA3-09B193887963}"/>
    <cellStyle name="Vírgula 7 2 3" xfId="1290" xr:uid="{D5B754F6-593C-4BF8-98DB-D06802182E30}"/>
    <cellStyle name="Vírgula 7 3" xfId="705" xr:uid="{1190335C-1D17-4451-9465-BC4BB0615229}"/>
    <cellStyle name="Vírgula 7 3 2" xfId="1308" xr:uid="{64C841A9-F3DF-4EA2-B625-00980E3C1E85}"/>
    <cellStyle name="Vírgula 7 4" xfId="1266" xr:uid="{F049E329-DD20-4D51-BA89-0E00368565F0}"/>
    <cellStyle name="Vírgula 8" xfId="611" xr:uid="{DD6CB88C-BEC8-416C-A800-C6094879E071}"/>
    <cellStyle name="Vírgula 8 2" xfId="684" xr:uid="{EB12EAE5-905B-4159-BDDF-49FC66F960C1}"/>
    <cellStyle name="Vírgula 8 2 2" xfId="720" xr:uid="{032009B3-30CB-4C64-AFF3-ADC21EF186B6}"/>
    <cellStyle name="Vírgula 8 2 2 2" xfId="1323" xr:uid="{39408EA5-175B-4D15-98FC-EE12F2602AD9}"/>
    <cellStyle name="Vírgula 8 2 3" xfId="1292" xr:uid="{BDAD0C8D-357E-447B-8F6E-071CC8A18F83}"/>
    <cellStyle name="Vírgula 8 3" xfId="706" xr:uid="{6B7B8F59-5D00-4F90-965D-9EAA55FE5864}"/>
    <cellStyle name="Vírgula 8 3 2" xfId="1309" xr:uid="{648B2B34-889C-4DBD-ACDE-D19A78BD5F3F}"/>
    <cellStyle name="Vírgula 8 4" xfId="1268" xr:uid="{0AD46B4E-2112-4A89-BC37-1609E810C741}"/>
    <cellStyle name="Vírgula 9" xfId="637" xr:uid="{0643C943-ED8F-4710-AC03-2AF71AC8A0EB}"/>
    <cellStyle name="Vírgula 9 2" xfId="707" xr:uid="{C695BE32-42D5-4C79-A5B7-DCE046E51F58}"/>
    <cellStyle name="Vírgula 9 2 2" xfId="1310" xr:uid="{73D65C1F-26A9-470B-803B-5B4A4EA645CD}"/>
    <cellStyle name="Vírgula 9 3" xfId="1279" xr:uid="{AE970694-38AD-4046-BB68-632CF27DDB1F}"/>
  </cellStyles>
  <dxfs count="222">
    <dxf>
      <font>
        <color rgb="FFFF0000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</dxfs>
  <tableStyles count="5" defaultTableStyle="TableStyleMedium2" defaultPivotStyle="PivotStyleLight16">
    <tableStyle name="Estilo de Tabela Dinâmica 1" table="0" count="1" xr9:uid="{5154C923-D5AD-4F85-982A-75127ACC78F2}">
      <tableStyleElement type="wholeTable" dxfId="221"/>
    </tableStyle>
    <tableStyle name="Estilo de Tabela Dinâmica 2" table="0" count="1" xr9:uid="{15E822B7-3F6F-4C03-9A15-36C04051FBF6}">
      <tableStyleElement type="wholeTable" dxfId="220"/>
    </tableStyle>
    <tableStyle name="Estilo de Tabela Dinâmica 3" table="0" count="0" xr9:uid="{64B4A81B-2048-4A8A-ABDA-7124A5733487}"/>
    <tableStyle name="MySqlDefault" pivot="0" table="0" count="2" xr9:uid="{AE54DC80-C287-496B-A270-03E72EE96328}">
      <tableStyleElement type="wholeTable" dxfId="219"/>
      <tableStyleElement type="headerRow" dxfId="218"/>
    </tableStyle>
    <tableStyle name="Invisible" pivot="0" table="0" count="0" xr9:uid="{947C237B-53E8-4330-A197-68F0AAECA6A9}"/>
  </tableStyles>
  <colors>
    <mruColors>
      <color rgb="FFFEC2D0"/>
      <color rgb="FFFDA1B7"/>
      <color rgb="FFFDD7E1"/>
      <color rgb="FFFF8F8F"/>
      <color rgb="FFCDACE6"/>
      <color rgb="FFF6E7FF"/>
      <color rgb="FFF0D5FF"/>
      <color rgb="FFFFEFFF"/>
      <color rgb="FFF7A7E2"/>
      <color rgb="FFE2CF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PCP%20Planejamento\57.%20Planejamento%20Di&#225;rio%20-%20MPS%20COTY\46.%20Programa&#231;&#245;es%20Cosm&#233;ticos\Programa&#231;&#227;o_Lineares%20-%20Detalhada.xlsx" TargetMode="External"/><Relationship Id="rId1" Type="http://schemas.openxmlformats.org/officeDocument/2006/relationships/externalLinkPath" Target="Programa&#231;&#227;o_Lineares%20-%20Detalha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neares"/>
      <sheetName val="COHVPI"/>
      <sheetName val="MASTERDATA"/>
    </sheetNames>
    <sheetDataSet>
      <sheetData sheetId="0"/>
      <sheetData sheetId="1">
        <row r="1">
          <cell r="A1" t="str">
            <v>Ordem</v>
          </cell>
          <cell r="B1" t="str">
            <v>Nº do material</v>
          </cell>
          <cell r="C1" t="str">
            <v>Texto breve de material</v>
          </cell>
          <cell r="D1" t="str">
            <v>Lote</v>
          </cell>
          <cell r="E1" t="str">
            <v>Quantidade da ordem (GMEIN)</v>
          </cell>
          <cell r="F1" t="str">
            <v>Qtd.fornecida (GMEIN)</v>
          </cell>
          <cell r="G1" t="str">
            <v>Unidade de medida (=GMEIN)</v>
          </cell>
          <cell r="H1" t="str">
            <v>Planejador MRP</v>
          </cell>
          <cell r="I1" t="str">
            <v>Data-base iníc.</v>
          </cell>
          <cell r="J1" t="str">
            <v>Data de conclusão base</v>
          </cell>
          <cell r="K1" t="str">
            <v>Hr.início programada</v>
          </cell>
          <cell r="L1" t="str">
            <v>Fim program. (hora)</v>
          </cell>
          <cell r="M1" t="str">
            <v>Versão de produção</v>
          </cell>
          <cell r="N1" t="str">
            <v>Status do sistema</v>
          </cell>
        </row>
        <row r="2">
          <cell r="A2">
            <v>1960895</v>
          </cell>
          <cell r="B2" t="str">
            <v>26029-1</v>
          </cell>
          <cell r="C2" t="str">
            <v>MONANGE SAB CFI LIQ REF FL LAV06X400MLPR</v>
          </cell>
          <cell r="D2" t="str">
            <v>6125C1</v>
          </cell>
          <cell r="E2">
            <v>2017</v>
          </cell>
          <cell r="F2">
            <v>1989</v>
          </cell>
          <cell r="G2" t="str">
            <v>CX</v>
          </cell>
          <cell r="H2" t="str">
            <v>Z08</v>
          </cell>
          <cell r="I2">
            <v>46147</v>
          </cell>
          <cell r="J2">
            <v>46147</v>
          </cell>
          <cell r="K2">
            <v>0.42810185185185001</v>
          </cell>
          <cell r="L2">
            <v>0.86582175925925997</v>
          </cell>
          <cell r="M2" t="str">
            <v/>
          </cell>
          <cell r="N2" t="str">
            <v>LIB  MATF IMPR CNPA CAPC CPRE DMNV FRNP*</v>
          </cell>
        </row>
        <row r="3">
          <cell r="A3">
            <v>1960896</v>
          </cell>
          <cell r="B3" t="str">
            <v>26029-1</v>
          </cell>
          <cell r="C3" t="str">
            <v>MONANGE SAB CFI LIQ REF FL LAV06X400MLPR</v>
          </cell>
          <cell r="D3" t="str">
            <v>6125C2</v>
          </cell>
          <cell r="E3">
            <v>2017</v>
          </cell>
          <cell r="F3">
            <v>1755</v>
          </cell>
          <cell r="G3" t="str">
            <v>CX</v>
          </cell>
          <cell r="H3" t="str">
            <v>Z08</v>
          </cell>
          <cell r="I3">
            <v>46147</v>
          </cell>
          <cell r="J3">
            <v>46148</v>
          </cell>
          <cell r="K3">
            <v>0.875</v>
          </cell>
          <cell r="L3">
            <v>0.62521990740740996</v>
          </cell>
          <cell r="M3" t="str">
            <v/>
          </cell>
          <cell r="N3" t="str">
            <v>LIB  MATF IMPR CNPA CAPC CPRE FRNP LOAT*</v>
          </cell>
        </row>
        <row r="4">
          <cell r="A4">
            <v>1960897</v>
          </cell>
          <cell r="B4" t="str">
            <v>26029-1</v>
          </cell>
          <cell r="C4" t="str">
            <v>MONANGE SAB CFI LIQ REF FL LAV06X400MLPR</v>
          </cell>
          <cell r="D4" t="str">
            <v>6126C1</v>
          </cell>
          <cell r="E4">
            <v>2017</v>
          </cell>
          <cell r="F4">
            <v>0</v>
          </cell>
          <cell r="G4" t="str">
            <v>CX</v>
          </cell>
          <cell r="H4" t="str">
            <v>Z08</v>
          </cell>
          <cell r="I4">
            <v>46148</v>
          </cell>
          <cell r="J4">
            <v>46149</v>
          </cell>
          <cell r="K4">
            <v>0.64583333333333004</v>
          </cell>
          <cell r="L4">
            <v>0.39605324074074</v>
          </cell>
          <cell r="M4" t="str">
            <v/>
          </cell>
          <cell r="N4" t="str">
            <v>LIB  IMPR CAPC CPRE LOAT MatC NOLQ ORSL</v>
          </cell>
        </row>
        <row r="5">
          <cell r="A5">
            <v>1960898</v>
          </cell>
          <cell r="B5" t="str">
            <v>26029-1</v>
          </cell>
          <cell r="C5" t="str">
            <v>MONANGE SAB CFI LIQ REF FL LAV06X400MLPR</v>
          </cell>
          <cell r="D5" t="str">
            <v/>
          </cell>
          <cell r="E5">
            <v>2017</v>
          </cell>
          <cell r="F5">
            <v>0</v>
          </cell>
          <cell r="G5" t="str">
            <v>CX</v>
          </cell>
          <cell r="H5" t="str">
            <v>Z08</v>
          </cell>
          <cell r="I5">
            <v>46148</v>
          </cell>
          <cell r="J5">
            <v>46148</v>
          </cell>
          <cell r="K5">
            <v>0.27777777777778001</v>
          </cell>
          <cell r="L5">
            <v>0.71549768518518997</v>
          </cell>
          <cell r="M5" t="str">
            <v/>
          </cell>
          <cell r="N5" t="str">
            <v>ABER CNAT DMNV NOLQ ORSL</v>
          </cell>
        </row>
        <row r="6">
          <cell r="A6">
            <v>1960899</v>
          </cell>
          <cell r="B6" t="str">
            <v>26029-1</v>
          </cell>
          <cell r="C6" t="str">
            <v>MONANGE SAB CFI LIQ REF FL LAV06X400MLPR</v>
          </cell>
          <cell r="D6" t="str">
            <v/>
          </cell>
          <cell r="E6">
            <v>2017</v>
          </cell>
          <cell r="F6">
            <v>0</v>
          </cell>
          <cell r="G6" t="str">
            <v>CX</v>
          </cell>
          <cell r="H6" t="str">
            <v>Z08</v>
          </cell>
          <cell r="I6">
            <v>46149</v>
          </cell>
          <cell r="J6">
            <v>46149</v>
          </cell>
          <cell r="K6">
            <v>0.27777777777778001</v>
          </cell>
          <cell r="L6">
            <v>0.71549768518518997</v>
          </cell>
          <cell r="M6" t="str">
            <v/>
          </cell>
          <cell r="N6" t="str">
            <v>ABER CNAT DMNV NOLQ ORSL</v>
          </cell>
        </row>
        <row r="7">
          <cell r="A7">
            <v>1960900</v>
          </cell>
          <cell r="B7" t="str">
            <v>26029-1</v>
          </cell>
          <cell r="C7" t="str">
            <v>MONANGE SAB CFI LIQ REF FL LAV06X400MLPR</v>
          </cell>
          <cell r="D7" t="str">
            <v/>
          </cell>
          <cell r="E7">
            <v>2017</v>
          </cell>
          <cell r="F7">
            <v>0</v>
          </cell>
          <cell r="G7" t="str">
            <v>CX</v>
          </cell>
          <cell r="H7" t="str">
            <v>Z08</v>
          </cell>
          <cell r="I7">
            <v>46149</v>
          </cell>
          <cell r="J7">
            <v>46149</v>
          </cell>
          <cell r="K7">
            <v>0.27777777777778001</v>
          </cell>
          <cell r="L7">
            <v>0.71549768518518997</v>
          </cell>
          <cell r="M7" t="str">
            <v/>
          </cell>
          <cell r="N7" t="str">
            <v>ABER CNAT DMNV NOLQ ORSL</v>
          </cell>
        </row>
        <row r="8">
          <cell r="A8">
            <v>1961718</v>
          </cell>
          <cell r="B8" t="str">
            <v>30078-0</v>
          </cell>
          <cell r="C8" t="str">
            <v>MONANGE SAB CFI LIQ REF FRVM 6X400ML AZ</v>
          </cell>
          <cell r="D8" t="str">
            <v/>
          </cell>
          <cell r="E8">
            <v>2017</v>
          </cell>
          <cell r="F8">
            <v>0</v>
          </cell>
          <cell r="G8" t="str">
            <v>CX</v>
          </cell>
          <cell r="H8" t="str">
            <v>Z08</v>
          </cell>
          <cell r="I8">
            <v>46150</v>
          </cell>
          <cell r="J8">
            <v>46150</v>
          </cell>
          <cell r="K8">
            <v>0.27777777777778001</v>
          </cell>
          <cell r="L8">
            <v>0.32046296296296001</v>
          </cell>
          <cell r="M8" t="str">
            <v/>
          </cell>
          <cell r="N8" t="str">
            <v>ABER CNAT DMNV NOLQ ORSL</v>
          </cell>
        </row>
        <row r="9">
          <cell r="A9">
            <v>1961719</v>
          </cell>
          <cell r="B9" t="str">
            <v>30078-0</v>
          </cell>
          <cell r="C9" t="str">
            <v>MONANGE SAB CFI LIQ REF FRVM 6X400ML AZ</v>
          </cell>
          <cell r="D9" t="str">
            <v/>
          </cell>
          <cell r="E9">
            <v>2017</v>
          </cell>
          <cell r="F9">
            <v>0</v>
          </cell>
          <cell r="G9" t="str">
            <v>CX</v>
          </cell>
          <cell r="H9" t="str">
            <v>Z08</v>
          </cell>
          <cell r="I9">
            <v>46150</v>
          </cell>
          <cell r="J9">
            <v>46150</v>
          </cell>
          <cell r="K9">
            <v>0.27777777777778001</v>
          </cell>
          <cell r="L9">
            <v>0.32046296296296001</v>
          </cell>
          <cell r="M9" t="str">
            <v/>
          </cell>
          <cell r="N9" t="str">
            <v>ABER CNAT DMNV NOLQ ORSL</v>
          </cell>
        </row>
        <row r="10">
          <cell r="A10">
            <v>1961720</v>
          </cell>
          <cell r="B10" t="str">
            <v>30078-0</v>
          </cell>
          <cell r="C10" t="str">
            <v>MONANGE SAB CFI LIQ REF FRVM 6X400ML AZ</v>
          </cell>
          <cell r="D10" t="str">
            <v/>
          </cell>
          <cell r="E10">
            <v>2017</v>
          </cell>
          <cell r="F10">
            <v>0</v>
          </cell>
          <cell r="G10" t="str">
            <v>CX</v>
          </cell>
          <cell r="H10" t="str">
            <v>Z08</v>
          </cell>
          <cell r="I10">
            <v>46151</v>
          </cell>
          <cell r="J10">
            <v>46151</v>
          </cell>
          <cell r="K10">
            <v>0.27777777777778001</v>
          </cell>
          <cell r="L10">
            <v>0.32046296296296001</v>
          </cell>
          <cell r="M10" t="str">
            <v/>
          </cell>
          <cell r="N10" t="str">
            <v>ABER CNAT DMNV NOLQ ORSL</v>
          </cell>
        </row>
        <row r="11">
          <cell r="A11">
            <v>1961721</v>
          </cell>
          <cell r="B11" t="str">
            <v>30078-0</v>
          </cell>
          <cell r="C11" t="str">
            <v>MONANGE SAB CFI LIQ REF FRVM 6X400ML AZ</v>
          </cell>
          <cell r="D11" t="str">
            <v/>
          </cell>
          <cell r="E11">
            <v>2017</v>
          </cell>
          <cell r="F11">
            <v>0</v>
          </cell>
          <cell r="G11" t="str">
            <v>CX</v>
          </cell>
          <cell r="H11" t="str">
            <v>Z08</v>
          </cell>
          <cell r="I11">
            <v>46151</v>
          </cell>
          <cell r="J11">
            <v>46151</v>
          </cell>
          <cell r="K11">
            <v>0.27777777777778001</v>
          </cell>
          <cell r="L11">
            <v>0.32046296296296001</v>
          </cell>
          <cell r="M11" t="str">
            <v/>
          </cell>
          <cell r="N11" t="str">
            <v>ABER CNAT DMNV NOLQ ORSL</v>
          </cell>
        </row>
        <row r="12">
          <cell r="A12">
            <v>1961722</v>
          </cell>
          <cell r="B12" t="str">
            <v>30078-0</v>
          </cell>
          <cell r="C12" t="str">
            <v>MONANGE SAB CFI LIQ REF FRVM 6X400ML AZ</v>
          </cell>
          <cell r="D12" t="str">
            <v/>
          </cell>
          <cell r="E12">
            <v>2017</v>
          </cell>
          <cell r="F12">
            <v>0</v>
          </cell>
          <cell r="G12" t="str">
            <v>CX</v>
          </cell>
          <cell r="H12" t="str">
            <v>Z08</v>
          </cell>
          <cell r="I12">
            <v>46153</v>
          </cell>
          <cell r="J12">
            <v>46153</v>
          </cell>
          <cell r="K12">
            <v>0.27777777777778001</v>
          </cell>
          <cell r="L12">
            <v>0.32046296296296001</v>
          </cell>
          <cell r="M12" t="str">
            <v/>
          </cell>
          <cell r="N12" t="str">
            <v>ABER CNAT DMNV NOLQ ORSL</v>
          </cell>
        </row>
        <row r="13">
          <cell r="A13">
            <v>1961724</v>
          </cell>
          <cell r="B13" t="str">
            <v>30078-0</v>
          </cell>
          <cell r="C13" t="str">
            <v>MONANGE SAB CFI LIQ REF FRVM 6X400ML AZ</v>
          </cell>
          <cell r="D13" t="str">
            <v/>
          </cell>
          <cell r="E13">
            <v>2017</v>
          </cell>
          <cell r="F13">
            <v>0</v>
          </cell>
          <cell r="G13" t="str">
            <v>CX</v>
          </cell>
          <cell r="H13" t="str">
            <v>Z08</v>
          </cell>
          <cell r="I13">
            <v>46153</v>
          </cell>
          <cell r="J13">
            <v>46153</v>
          </cell>
          <cell r="K13">
            <v>0.27777777777778001</v>
          </cell>
          <cell r="L13">
            <v>0.32046296296296001</v>
          </cell>
          <cell r="M13" t="str">
            <v/>
          </cell>
          <cell r="N13" t="str">
            <v>ABER CNAT DMNV NOLQ ORSL</v>
          </cell>
        </row>
        <row r="14">
          <cell r="A14">
            <v>1961752</v>
          </cell>
          <cell r="B14" t="str">
            <v>30078-0</v>
          </cell>
          <cell r="C14" t="str">
            <v>MONANGE SAB CFI LIQ REF FRVM 6X400ML AZ</v>
          </cell>
          <cell r="D14" t="str">
            <v/>
          </cell>
          <cell r="E14">
            <v>2017</v>
          </cell>
          <cell r="F14">
            <v>0</v>
          </cell>
          <cell r="G14" t="str">
            <v>CX</v>
          </cell>
          <cell r="H14" t="str">
            <v>Z08</v>
          </cell>
          <cell r="I14">
            <v>46154</v>
          </cell>
          <cell r="J14">
            <v>46154</v>
          </cell>
          <cell r="K14">
            <v>0.27777777777778001</v>
          </cell>
          <cell r="L14">
            <v>0.32046296296296001</v>
          </cell>
          <cell r="M14" t="str">
            <v/>
          </cell>
          <cell r="N14" t="str">
            <v>ABER CNAT DMNV NOLQ ORSL</v>
          </cell>
        </row>
        <row r="15">
          <cell r="A15">
            <v>1961753</v>
          </cell>
          <cell r="B15" t="str">
            <v>30078-0</v>
          </cell>
          <cell r="C15" t="str">
            <v>MONANGE SAB CFI LIQ REF FRVM 6X400ML AZ</v>
          </cell>
          <cell r="D15" t="str">
            <v/>
          </cell>
          <cell r="E15">
            <v>2017</v>
          </cell>
          <cell r="F15">
            <v>0</v>
          </cell>
          <cell r="G15" t="str">
            <v>CX</v>
          </cell>
          <cell r="H15" t="str">
            <v>Z08</v>
          </cell>
          <cell r="I15">
            <v>46154</v>
          </cell>
          <cell r="J15">
            <v>46154</v>
          </cell>
          <cell r="K15">
            <v>0.27777777777778001</v>
          </cell>
          <cell r="L15">
            <v>0.32046296296296001</v>
          </cell>
          <cell r="M15" t="str">
            <v/>
          </cell>
          <cell r="N15" t="str">
            <v>ABER CNAT DMNV NOLQ ORSL</v>
          </cell>
        </row>
        <row r="16">
          <cell r="A16">
            <v>1961712</v>
          </cell>
          <cell r="B16" t="str">
            <v>20278-0</v>
          </cell>
          <cell r="C16" t="str">
            <v>BITUFO GD COCORICO S/F TUTI FRUTTI 90G</v>
          </cell>
          <cell r="D16" t="str">
            <v/>
          </cell>
          <cell r="E16">
            <v>15380</v>
          </cell>
          <cell r="F16">
            <v>0</v>
          </cell>
          <cell r="G16" t="str">
            <v>UN</v>
          </cell>
          <cell r="H16" t="str">
            <v>Z08</v>
          </cell>
          <cell r="I16">
            <v>46157</v>
          </cell>
          <cell r="J16">
            <v>46158</v>
          </cell>
          <cell r="K16">
            <v>0.27777777777778001</v>
          </cell>
          <cell r="L16">
            <v>0.32613425925925998</v>
          </cell>
          <cell r="M16" t="str">
            <v/>
          </cell>
          <cell r="N16" t="str">
            <v>ABER CNAT DMNV NOLQ ORSL</v>
          </cell>
        </row>
        <row r="17">
          <cell r="A17">
            <v>1961747</v>
          </cell>
          <cell r="B17" t="str">
            <v>20278-0</v>
          </cell>
          <cell r="C17" t="str">
            <v>BITUFO GD COCORICO S/F TUTI FRUTTI 90G</v>
          </cell>
          <cell r="D17" t="str">
            <v/>
          </cell>
          <cell r="E17">
            <v>15380</v>
          </cell>
          <cell r="F17">
            <v>0</v>
          </cell>
          <cell r="G17" t="str">
            <v>UN</v>
          </cell>
          <cell r="H17" t="str">
            <v>Z08</v>
          </cell>
          <cell r="I17">
            <v>46157</v>
          </cell>
          <cell r="J17">
            <v>46158</v>
          </cell>
          <cell r="K17">
            <v>0.27777777777778001</v>
          </cell>
          <cell r="L17">
            <v>0.32613425925925998</v>
          </cell>
          <cell r="M17" t="str">
            <v/>
          </cell>
          <cell r="N17" t="str">
            <v>ABER CNAT DMNV NOLQ ORSL</v>
          </cell>
        </row>
        <row r="18">
          <cell r="A18">
            <v>1961728</v>
          </cell>
          <cell r="B18" t="str">
            <v>20279-0</v>
          </cell>
          <cell r="C18" t="str">
            <v>BITUFO GD COCORICO C/F TUTI FRUTTI 90G</v>
          </cell>
          <cell r="D18" t="str">
            <v/>
          </cell>
          <cell r="E18">
            <v>15380</v>
          </cell>
          <cell r="F18">
            <v>0</v>
          </cell>
          <cell r="G18" t="str">
            <v>UN</v>
          </cell>
          <cell r="H18" t="str">
            <v>Z08</v>
          </cell>
          <cell r="I18">
            <v>46158</v>
          </cell>
          <cell r="J18">
            <v>46160</v>
          </cell>
          <cell r="K18">
            <v>0.27777777777778001</v>
          </cell>
          <cell r="L18">
            <v>0.32613425925925998</v>
          </cell>
          <cell r="M18" t="str">
            <v/>
          </cell>
          <cell r="N18" t="str">
            <v>ABER CNAT DMNV NOLQ ORSL</v>
          </cell>
        </row>
        <row r="19">
          <cell r="A19">
            <v>1961700</v>
          </cell>
          <cell r="B19" t="str">
            <v>20118-1</v>
          </cell>
          <cell r="C19" t="str">
            <v>PAIXAO DEO LOCAO ULTRA FRAMBOES 12X200ML</v>
          </cell>
          <cell r="D19" t="str">
            <v/>
          </cell>
          <cell r="E19">
            <v>1251</v>
          </cell>
          <cell r="F19">
            <v>0</v>
          </cell>
          <cell r="G19" t="str">
            <v>CX</v>
          </cell>
          <cell r="H19" t="str">
            <v>Z08</v>
          </cell>
          <cell r="I19">
            <v>46150</v>
          </cell>
          <cell r="J19">
            <v>46150</v>
          </cell>
          <cell r="K19">
            <v>0.27777777777778001</v>
          </cell>
          <cell r="L19">
            <v>0.64484953703703995</v>
          </cell>
          <cell r="M19" t="str">
            <v/>
          </cell>
          <cell r="N19" t="str">
            <v>ABER CNAT DMNV NOLQ ORSL</v>
          </cell>
        </row>
        <row r="20">
          <cell r="A20">
            <v>1958533</v>
          </cell>
          <cell r="B20" t="str">
            <v>25143-0</v>
          </cell>
          <cell r="C20" t="str">
            <v>PAIXAO DEO LOCAO MAO TENT AMEIXA 8X75G</v>
          </cell>
          <cell r="D20" t="str">
            <v>6122C1</v>
          </cell>
          <cell r="E20">
            <v>4934</v>
          </cell>
          <cell r="F20">
            <v>4393</v>
          </cell>
          <cell r="G20" t="str">
            <v>CX</v>
          </cell>
          <cell r="H20" t="str">
            <v>Z08</v>
          </cell>
          <cell r="I20">
            <v>46146</v>
          </cell>
          <cell r="J20">
            <v>46147</v>
          </cell>
          <cell r="K20">
            <v>0.55087962962963</v>
          </cell>
          <cell r="L20">
            <v>0.6531712962963</v>
          </cell>
          <cell r="M20" t="str">
            <v/>
          </cell>
          <cell r="N20" t="str">
            <v>LIB  MATF IMPR CNPA CAPC CPRE DMNV FRNP*</v>
          </cell>
        </row>
        <row r="21">
          <cell r="A21">
            <v>1961698</v>
          </cell>
          <cell r="B21" t="str">
            <v>25146-0</v>
          </cell>
          <cell r="C21" t="str">
            <v>PAIXAO DEO LOCAO ULTRA INSP ROS 12X200ML</v>
          </cell>
          <cell r="D21" t="str">
            <v/>
          </cell>
          <cell r="E21">
            <v>1250</v>
          </cell>
          <cell r="F21">
            <v>0</v>
          </cell>
          <cell r="G21" t="str">
            <v>CX</v>
          </cell>
          <cell r="H21" t="str">
            <v>Z08</v>
          </cell>
          <cell r="I21">
            <v>46149</v>
          </cell>
          <cell r="J21">
            <v>46149</v>
          </cell>
          <cell r="K21">
            <v>0.27777777777778001</v>
          </cell>
          <cell r="L21">
            <v>0.64456018518518998</v>
          </cell>
          <cell r="M21" t="str">
            <v/>
          </cell>
          <cell r="N21" t="str">
            <v>ABER CNAT DMNV NOLQ ORSL</v>
          </cell>
        </row>
        <row r="22">
          <cell r="A22">
            <v>1961745</v>
          </cell>
          <cell r="B22" t="str">
            <v>25146-0</v>
          </cell>
          <cell r="C22" t="str">
            <v>PAIXAO DEO LOCAO ULTRA INSP ROS 12X200ML</v>
          </cell>
          <cell r="D22" t="str">
            <v/>
          </cell>
          <cell r="E22">
            <v>1250</v>
          </cell>
          <cell r="F22">
            <v>0</v>
          </cell>
          <cell r="G22" t="str">
            <v>CX</v>
          </cell>
          <cell r="H22" t="str">
            <v>Z08</v>
          </cell>
          <cell r="I22">
            <v>46150</v>
          </cell>
          <cell r="J22">
            <v>46150</v>
          </cell>
          <cell r="K22">
            <v>0.27777777777778001</v>
          </cell>
          <cell r="L22">
            <v>0.64456018518518998</v>
          </cell>
          <cell r="M22" t="str">
            <v/>
          </cell>
          <cell r="N22" t="str">
            <v>ABER CNAT DMNV NOLQ ORSL</v>
          </cell>
        </row>
        <row r="23">
          <cell r="A23">
            <v>1961702</v>
          </cell>
          <cell r="B23" t="str">
            <v>25148-0</v>
          </cell>
          <cell r="C23" t="str">
            <v>PAIXAO DEO LOCAO ULTRA TENT AME 12X200ML</v>
          </cell>
          <cell r="D23" t="str">
            <v/>
          </cell>
          <cell r="E23">
            <v>1251</v>
          </cell>
          <cell r="F23">
            <v>0</v>
          </cell>
          <cell r="G23" t="str">
            <v>CX</v>
          </cell>
          <cell r="H23" t="str">
            <v>Z08</v>
          </cell>
          <cell r="I23">
            <v>46151</v>
          </cell>
          <cell r="J23">
            <v>46151</v>
          </cell>
          <cell r="K23">
            <v>0.27777777777778001</v>
          </cell>
          <cell r="L23">
            <v>0.64484953703703995</v>
          </cell>
          <cell r="M23" t="str">
            <v/>
          </cell>
          <cell r="N23" t="str">
            <v>ABER CNAT DMNV NOLQ ORSL</v>
          </cell>
        </row>
        <row r="24">
          <cell r="A24">
            <v>1961696</v>
          </cell>
          <cell r="B24" t="str">
            <v>25185-1</v>
          </cell>
          <cell r="C24" t="str">
            <v>MONANGE DEO HIDR MAOS Q10 8X75G PT</v>
          </cell>
          <cell r="D24" t="str">
            <v>6124C1</v>
          </cell>
          <cell r="E24">
            <v>4934</v>
          </cell>
          <cell r="F24">
            <v>1575</v>
          </cell>
          <cell r="G24" t="str">
            <v>CX</v>
          </cell>
          <cell r="H24" t="str">
            <v>Z08</v>
          </cell>
          <cell r="I24">
            <v>46147</v>
          </cell>
          <cell r="J24">
            <v>46149</v>
          </cell>
          <cell r="K24">
            <v>0.69444444444443998</v>
          </cell>
          <cell r="L24">
            <v>0.28462962962963001</v>
          </cell>
          <cell r="M24" t="str">
            <v/>
          </cell>
          <cell r="N24" t="str">
            <v>LIB  IMPR CNPA CAPC CPRE DMNV FRNP LOAT*</v>
          </cell>
        </row>
        <row r="25">
          <cell r="E25"/>
          <cell r="F25"/>
          <cell r="I25"/>
          <cell r="J25"/>
          <cell r="K25"/>
          <cell r="L25"/>
        </row>
        <row r="26">
          <cell r="E26"/>
          <cell r="F26"/>
          <cell r="I26"/>
          <cell r="J26"/>
          <cell r="K26"/>
          <cell r="L26"/>
        </row>
        <row r="27">
          <cell r="E27"/>
          <cell r="F27"/>
          <cell r="I27"/>
          <cell r="J27"/>
          <cell r="K27"/>
          <cell r="L27"/>
        </row>
        <row r="28">
          <cell r="E28"/>
          <cell r="F28"/>
          <cell r="I28"/>
          <cell r="J28"/>
          <cell r="K28"/>
          <cell r="L28"/>
        </row>
        <row r="29">
          <cell r="E29"/>
          <cell r="F29"/>
          <cell r="I29"/>
          <cell r="J29"/>
          <cell r="K29"/>
          <cell r="L29"/>
        </row>
        <row r="30">
          <cell r="E30"/>
          <cell r="F30"/>
          <cell r="I30"/>
          <cell r="J30"/>
          <cell r="K30"/>
          <cell r="L30"/>
        </row>
        <row r="31">
          <cell r="E31"/>
          <cell r="F31"/>
          <cell r="I31"/>
          <cell r="J31"/>
          <cell r="K31"/>
          <cell r="L31"/>
        </row>
        <row r="32">
          <cell r="E32"/>
          <cell r="F32"/>
          <cell r="I32"/>
          <cell r="J32"/>
          <cell r="K32"/>
          <cell r="L32"/>
        </row>
        <row r="33">
          <cell r="E33"/>
          <cell r="F33"/>
          <cell r="I33"/>
          <cell r="J33"/>
          <cell r="K33"/>
          <cell r="L33"/>
        </row>
        <row r="34">
          <cell r="E34"/>
          <cell r="F34"/>
          <cell r="I34"/>
          <cell r="J34"/>
          <cell r="K34"/>
          <cell r="L34"/>
        </row>
        <row r="35">
          <cell r="E35"/>
          <cell r="F35"/>
          <cell r="I35"/>
          <cell r="J35"/>
          <cell r="K35"/>
          <cell r="L35"/>
        </row>
        <row r="36">
          <cell r="E36"/>
          <cell r="F36"/>
          <cell r="I36"/>
          <cell r="J36"/>
          <cell r="K36"/>
          <cell r="L36"/>
        </row>
        <row r="37">
          <cell r="E37"/>
          <cell r="F37"/>
          <cell r="I37"/>
          <cell r="J37"/>
          <cell r="K37"/>
          <cell r="L37"/>
        </row>
        <row r="38">
          <cell r="E38"/>
          <cell r="F38"/>
          <cell r="I38"/>
          <cell r="J38"/>
          <cell r="K38"/>
          <cell r="L38"/>
        </row>
        <row r="39">
          <cell r="E39"/>
          <cell r="F39"/>
          <cell r="I39"/>
          <cell r="J39"/>
          <cell r="K39"/>
          <cell r="L39"/>
        </row>
        <row r="40">
          <cell r="E40"/>
          <cell r="F40"/>
          <cell r="I40"/>
          <cell r="J40"/>
          <cell r="K40"/>
          <cell r="L40"/>
        </row>
        <row r="41">
          <cell r="E41"/>
          <cell r="F41"/>
          <cell r="I41"/>
          <cell r="J41"/>
          <cell r="K41"/>
          <cell r="L41"/>
        </row>
        <row r="42">
          <cell r="E42"/>
          <cell r="F42"/>
          <cell r="I42"/>
          <cell r="J42"/>
          <cell r="K42"/>
          <cell r="L42"/>
        </row>
        <row r="43">
          <cell r="E43"/>
          <cell r="F43"/>
          <cell r="I43"/>
          <cell r="J43"/>
          <cell r="K43"/>
          <cell r="L43"/>
        </row>
        <row r="44">
          <cell r="E44"/>
          <cell r="F44"/>
          <cell r="I44"/>
          <cell r="J44"/>
          <cell r="K44"/>
          <cell r="L44"/>
        </row>
        <row r="45">
          <cell r="E45"/>
          <cell r="F45"/>
          <cell r="I45"/>
          <cell r="J45"/>
          <cell r="K45"/>
          <cell r="L45"/>
        </row>
        <row r="46">
          <cell r="E46"/>
          <cell r="F46"/>
          <cell r="I46"/>
          <cell r="J46"/>
          <cell r="K46"/>
          <cell r="L46"/>
        </row>
        <row r="47">
          <cell r="E47"/>
          <cell r="F47"/>
          <cell r="I47"/>
          <cell r="J47"/>
          <cell r="K47"/>
          <cell r="L47"/>
        </row>
        <row r="48">
          <cell r="E48"/>
          <cell r="F48"/>
          <cell r="I48"/>
          <cell r="J48"/>
          <cell r="K48"/>
          <cell r="L48"/>
        </row>
        <row r="49">
          <cell r="E49"/>
          <cell r="F49"/>
          <cell r="I49"/>
          <cell r="J49"/>
          <cell r="K49"/>
          <cell r="L49"/>
        </row>
        <row r="50">
          <cell r="E50"/>
          <cell r="F50"/>
          <cell r="I50"/>
          <cell r="J50"/>
          <cell r="K50"/>
          <cell r="L50"/>
        </row>
        <row r="51">
          <cell r="E51"/>
          <cell r="F51"/>
          <cell r="I51"/>
          <cell r="J51"/>
          <cell r="K51"/>
          <cell r="L51"/>
        </row>
        <row r="52">
          <cell r="E52"/>
          <cell r="F52"/>
          <cell r="I52"/>
          <cell r="J52"/>
          <cell r="K52"/>
          <cell r="L52"/>
        </row>
        <row r="53">
          <cell r="E53"/>
          <cell r="F53"/>
          <cell r="I53"/>
          <cell r="J53"/>
          <cell r="K53"/>
          <cell r="L53"/>
        </row>
        <row r="54">
          <cell r="E54"/>
          <cell r="F54"/>
          <cell r="I54"/>
          <cell r="J54"/>
          <cell r="K54"/>
          <cell r="L54"/>
        </row>
        <row r="55">
          <cell r="E55"/>
          <cell r="F55"/>
          <cell r="I55"/>
          <cell r="J55"/>
          <cell r="K55"/>
          <cell r="L55"/>
        </row>
        <row r="56">
          <cell r="E56"/>
          <cell r="F56"/>
          <cell r="I56"/>
          <cell r="J56"/>
          <cell r="K56"/>
          <cell r="L56"/>
        </row>
        <row r="57">
          <cell r="E57"/>
          <cell r="F57"/>
          <cell r="I57"/>
          <cell r="J57"/>
          <cell r="K57"/>
          <cell r="L57"/>
        </row>
        <row r="58">
          <cell r="E58"/>
          <cell r="F58"/>
          <cell r="I58"/>
          <cell r="J58"/>
          <cell r="K58"/>
          <cell r="L58"/>
        </row>
        <row r="59">
          <cell r="E59"/>
          <cell r="F59"/>
          <cell r="I59"/>
          <cell r="J59"/>
          <cell r="K59"/>
          <cell r="L59"/>
        </row>
        <row r="60">
          <cell r="E60"/>
          <cell r="F60"/>
          <cell r="I60"/>
          <cell r="J60"/>
          <cell r="K60"/>
          <cell r="L60"/>
        </row>
        <row r="61">
          <cell r="E61"/>
          <cell r="F61"/>
          <cell r="I61"/>
          <cell r="J61"/>
          <cell r="K61"/>
          <cell r="L61"/>
        </row>
        <row r="62">
          <cell r="E62"/>
          <cell r="F62"/>
          <cell r="I62"/>
          <cell r="J62"/>
          <cell r="K62"/>
          <cell r="L62"/>
        </row>
        <row r="63">
          <cell r="E63"/>
          <cell r="F63"/>
          <cell r="I63"/>
          <cell r="J63"/>
          <cell r="K63"/>
          <cell r="L63"/>
        </row>
        <row r="64">
          <cell r="E64"/>
          <cell r="F64"/>
          <cell r="I64"/>
          <cell r="J64"/>
          <cell r="K64"/>
          <cell r="L64"/>
        </row>
        <row r="65">
          <cell r="E65"/>
          <cell r="F65"/>
          <cell r="I65"/>
          <cell r="J65"/>
          <cell r="K65"/>
          <cell r="L65"/>
        </row>
        <row r="66">
          <cell r="E66"/>
          <cell r="F66"/>
          <cell r="I66"/>
          <cell r="J66"/>
          <cell r="K66"/>
          <cell r="L66"/>
        </row>
        <row r="67">
          <cell r="E67"/>
          <cell r="F67"/>
          <cell r="I67"/>
          <cell r="J67"/>
          <cell r="K67"/>
          <cell r="L67"/>
        </row>
        <row r="68">
          <cell r="E68"/>
          <cell r="F68"/>
          <cell r="I68"/>
          <cell r="J68"/>
          <cell r="K68"/>
          <cell r="L68"/>
        </row>
        <row r="69">
          <cell r="E69"/>
          <cell r="F69"/>
          <cell r="I69"/>
          <cell r="J69"/>
          <cell r="K69"/>
          <cell r="L69"/>
        </row>
        <row r="70">
          <cell r="E70"/>
          <cell r="F70"/>
          <cell r="I70"/>
          <cell r="J70"/>
          <cell r="K70"/>
          <cell r="L70"/>
        </row>
        <row r="71">
          <cell r="E71"/>
          <cell r="F71"/>
          <cell r="I71"/>
          <cell r="J71"/>
          <cell r="K71"/>
          <cell r="L71"/>
        </row>
        <row r="72">
          <cell r="E72"/>
          <cell r="F72"/>
          <cell r="I72"/>
          <cell r="J72"/>
          <cell r="K72"/>
          <cell r="L72"/>
        </row>
        <row r="73">
          <cell r="E73"/>
          <cell r="F73"/>
          <cell r="I73"/>
          <cell r="J73"/>
          <cell r="K73"/>
          <cell r="L73"/>
        </row>
        <row r="74">
          <cell r="E74"/>
          <cell r="F74"/>
          <cell r="I74"/>
          <cell r="J74"/>
          <cell r="K74"/>
          <cell r="L74"/>
        </row>
        <row r="75">
          <cell r="E75"/>
          <cell r="F75"/>
          <cell r="I75"/>
          <cell r="J75"/>
          <cell r="K75"/>
          <cell r="L75"/>
        </row>
        <row r="76">
          <cell r="E76"/>
          <cell r="F76"/>
          <cell r="I76"/>
          <cell r="J76"/>
          <cell r="K76"/>
          <cell r="L76"/>
        </row>
        <row r="77">
          <cell r="E77"/>
          <cell r="F77"/>
          <cell r="I77"/>
          <cell r="J77"/>
          <cell r="K77"/>
          <cell r="L77"/>
        </row>
        <row r="78">
          <cell r="E78"/>
          <cell r="F78"/>
          <cell r="I78"/>
          <cell r="J78"/>
          <cell r="K78"/>
          <cell r="L78"/>
        </row>
        <row r="79">
          <cell r="E79"/>
          <cell r="F79"/>
          <cell r="I79"/>
          <cell r="J79"/>
          <cell r="K79"/>
          <cell r="L79"/>
        </row>
        <row r="80">
          <cell r="E80"/>
          <cell r="F80"/>
          <cell r="I80"/>
          <cell r="J80"/>
          <cell r="K80"/>
          <cell r="L80"/>
        </row>
        <row r="81">
          <cell r="E81"/>
          <cell r="F81"/>
          <cell r="I81"/>
          <cell r="J81"/>
          <cell r="K81"/>
          <cell r="L81"/>
        </row>
        <row r="82">
          <cell r="E82"/>
          <cell r="F82"/>
          <cell r="I82"/>
          <cell r="J82"/>
          <cell r="K82"/>
          <cell r="L82"/>
        </row>
        <row r="83">
          <cell r="E83"/>
          <cell r="F83"/>
          <cell r="I83"/>
          <cell r="J83"/>
          <cell r="K83"/>
          <cell r="L83"/>
        </row>
        <row r="84">
          <cell r="E84"/>
          <cell r="F84"/>
          <cell r="I84"/>
          <cell r="J84"/>
          <cell r="K84"/>
          <cell r="L84"/>
        </row>
        <row r="85">
          <cell r="E85"/>
          <cell r="F85"/>
          <cell r="I85"/>
          <cell r="J85"/>
          <cell r="K85"/>
          <cell r="L85"/>
        </row>
        <row r="86">
          <cell r="E86"/>
          <cell r="F86"/>
          <cell r="I86"/>
          <cell r="J86"/>
          <cell r="K86"/>
          <cell r="L86"/>
        </row>
        <row r="87">
          <cell r="E87"/>
          <cell r="F87"/>
          <cell r="I87"/>
          <cell r="J87"/>
          <cell r="K87"/>
          <cell r="L87"/>
        </row>
        <row r="88">
          <cell r="E88"/>
          <cell r="F88"/>
          <cell r="I88"/>
          <cell r="J88"/>
          <cell r="K88"/>
          <cell r="L88"/>
        </row>
        <row r="89">
          <cell r="E89"/>
          <cell r="F89"/>
          <cell r="I89"/>
          <cell r="J89"/>
          <cell r="K89"/>
          <cell r="L89"/>
        </row>
        <row r="90">
          <cell r="E90"/>
          <cell r="F90"/>
          <cell r="I90"/>
          <cell r="J90"/>
          <cell r="K90"/>
          <cell r="L90"/>
        </row>
        <row r="91">
          <cell r="E91"/>
          <cell r="F91"/>
          <cell r="I91"/>
          <cell r="J91"/>
          <cell r="K91"/>
          <cell r="L91"/>
        </row>
        <row r="92">
          <cell r="E92"/>
          <cell r="F92"/>
          <cell r="I92"/>
          <cell r="J92"/>
          <cell r="K92"/>
          <cell r="L92"/>
        </row>
        <row r="93">
          <cell r="E93"/>
          <cell r="F93"/>
          <cell r="I93"/>
          <cell r="J93"/>
          <cell r="K93"/>
          <cell r="L93"/>
        </row>
        <row r="94">
          <cell r="E94"/>
          <cell r="F94"/>
          <cell r="I94"/>
          <cell r="J94"/>
          <cell r="K94"/>
          <cell r="L94"/>
        </row>
        <row r="95">
          <cell r="E95"/>
          <cell r="F95"/>
          <cell r="I95"/>
          <cell r="J95"/>
          <cell r="K95"/>
          <cell r="L95"/>
        </row>
        <row r="96">
          <cell r="E96"/>
          <cell r="F96"/>
          <cell r="I96"/>
          <cell r="J96"/>
          <cell r="K96"/>
          <cell r="L96"/>
        </row>
        <row r="97">
          <cell r="E97"/>
          <cell r="F97"/>
          <cell r="I97"/>
          <cell r="J97"/>
          <cell r="K97"/>
          <cell r="L97"/>
        </row>
        <row r="98">
          <cell r="E98"/>
          <cell r="F98"/>
          <cell r="I98"/>
          <cell r="J98"/>
          <cell r="K98"/>
          <cell r="L98"/>
        </row>
        <row r="99">
          <cell r="E99"/>
          <cell r="F99"/>
          <cell r="I99"/>
          <cell r="J99"/>
          <cell r="K99"/>
          <cell r="L99"/>
        </row>
        <row r="100">
          <cell r="E100"/>
          <cell r="F100"/>
          <cell r="I100"/>
          <cell r="J100"/>
          <cell r="K100"/>
          <cell r="L100"/>
        </row>
        <row r="101">
          <cell r="E101"/>
          <cell r="F101"/>
          <cell r="I101"/>
          <cell r="J101"/>
          <cell r="K101"/>
          <cell r="L101"/>
        </row>
        <row r="102">
          <cell r="E102"/>
          <cell r="F102"/>
          <cell r="I102"/>
          <cell r="J102"/>
          <cell r="K102"/>
          <cell r="L102"/>
        </row>
        <row r="103">
          <cell r="E103"/>
          <cell r="F103"/>
          <cell r="I103"/>
          <cell r="J103"/>
          <cell r="K103"/>
          <cell r="L103"/>
        </row>
        <row r="104">
          <cell r="E104"/>
          <cell r="F104"/>
          <cell r="I104"/>
          <cell r="J104"/>
          <cell r="K104"/>
          <cell r="L104"/>
        </row>
        <row r="105">
          <cell r="E105"/>
          <cell r="F105"/>
          <cell r="I105"/>
          <cell r="J105"/>
          <cell r="K105"/>
          <cell r="L105"/>
        </row>
        <row r="106">
          <cell r="E106"/>
          <cell r="F106"/>
          <cell r="I106"/>
          <cell r="J106"/>
          <cell r="K106"/>
          <cell r="L106"/>
        </row>
        <row r="107">
          <cell r="E107"/>
          <cell r="F107"/>
          <cell r="I107"/>
          <cell r="J107"/>
          <cell r="K107"/>
          <cell r="L107"/>
        </row>
        <row r="108">
          <cell r="E108"/>
          <cell r="F108"/>
          <cell r="I108"/>
          <cell r="J108"/>
          <cell r="K108"/>
          <cell r="L108"/>
        </row>
        <row r="109">
          <cell r="E109"/>
          <cell r="F109"/>
          <cell r="I109"/>
          <cell r="J109"/>
          <cell r="K109"/>
          <cell r="L109"/>
        </row>
        <row r="110">
          <cell r="E110"/>
          <cell r="F110"/>
          <cell r="I110"/>
          <cell r="J110"/>
          <cell r="K110"/>
          <cell r="L110"/>
        </row>
        <row r="111">
          <cell r="E111"/>
          <cell r="F111"/>
          <cell r="I111"/>
          <cell r="J111"/>
          <cell r="K111"/>
          <cell r="L111"/>
        </row>
        <row r="112">
          <cell r="E112"/>
          <cell r="F112"/>
          <cell r="I112"/>
          <cell r="J112"/>
          <cell r="K112"/>
          <cell r="L112"/>
        </row>
        <row r="113">
          <cell r="E113"/>
          <cell r="F113"/>
          <cell r="I113"/>
          <cell r="J113"/>
          <cell r="K113"/>
          <cell r="L113"/>
        </row>
        <row r="114">
          <cell r="E114"/>
          <cell r="F114"/>
          <cell r="I114"/>
          <cell r="J114"/>
          <cell r="K114"/>
          <cell r="L114"/>
        </row>
        <row r="115">
          <cell r="E115"/>
          <cell r="F115"/>
          <cell r="I115"/>
          <cell r="J115"/>
          <cell r="K115"/>
          <cell r="L115"/>
        </row>
        <row r="116">
          <cell r="E116"/>
          <cell r="F116"/>
          <cell r="I116"/>
          <cell r="J116"/>
          <cell r="K116"/>
          <cell r="L116"/>
        </row>
        <row r="117">
          <cell r="E117"/>
          <cell r="F117"/>
          <cell r="I117"/>
          <cell r="J117"/>
          <cell r="K117"/>
          <cell r="L117"/>
        </row>
        <row r="118">
          <cell r="E118"/>
          <cell r="F118"/>
          <cell r="I118"/>
          <cell r="J118"/>
          <cell r="K118"/>
          <cell r="L118"/>
        </row>
        <row r="119">
          <cell r="E119"/>
          <cell r="F119"/>
          <cell r="I119"/>
          <cell r="J119"/>
          <cell r="K119"/>
          <cell r="L119"/>
        </row>
        <row r="120">
          <cell r="E120"/>
          <cell r="F120"/>
          <cell r="I120"/>
          <cell r="J120"/>
          <cell r="K120"/>
          <cell r="L120"/>
        </row>
        <row r="121">
          <cell r="E121"/>
          <cell r="F121"/>
          <cell r="I121"/>
          <cell r="J121"/>
          <cell r="K121"/>
          <cell r="L121"/>
        </row>
        <row r="122">
          <cell r="E122"/>
          <cell r="F122"/>
          <cell r="I122"/>
          <cell r="J122"/>
          <cell r="K122"/>
          <cell r="L122"/>
        </row>
        <row r="123">
          <cell r="E123"/>
          <cell r="F123"/>
          <cell r="I123"/>
          <cell r="J123"/>
          <cell r="K123"/>
          <cell r="L123"/>
        </row>
        <row r="124">
          <cell r="E124"/>
          <cell r="F124"/>
          <cell r="I124"/>
          <cell r="J124"/>
          <cell r="K124"/>
          <cell r="L124"/>
        </row>
        <row r="125">
          <cell r="E125"/>
          <cell r="F125"/>
          <cell r="I125"/>
          <cell r="J125"/>
          <cell r="K125"/>
          <cell r="L125"/>
        </row>
        <row r="126">
          <cell r="E126"/>
          <cell r="F126"/>
          <cell r="I126"/>
          <cell r="J126"/>
          <cell r="K126"/>
          <cell r="L126"/>
        </row>
        <row r="127">
          <cell r="E127"/>
          <cell r="F127"/>
          <cell r="I127"/>
          <cell r="J127"/>
          <cell r="K127"/>
          <cell r="L127"/>
        </row>
        <row r="128">
          <cell r="E128"/>
          <cell r="F128"/>
          <cell r="I128"/>
          <cell r="J128"/>
          <cell r="K128"/>
          <cell r="L128"/>
        </row>
        <row r="129">
          <cell r="E129"/>
          <cell r="F129"/>
          <cell r="I129"/>
          <cell r="J129"/>
          <cell r="K129"/>
          <cell r="L129"/>
        </row>
        <row r="130">
          <cell r="E130"/>
          <cell r="F130"/>
          <cell r="I130"/>
          <cell r="J130"/>
          <cell r="K130"/>
          <cell r="L130"/>
        </row>
        <row r="131">
          <cell r="E131"/>
          <cell r="F131"/>
          <cell r="I131"/>
          <cell r="J131"/>
          <cell r="K131"/>
          <cell r="L131"/>
        </row>
        <row r="132">
          <cell r="E132"/>
          <cell r="F132"/>
          <cell r="I132"/>
          <cell r="J132"/>
          <cell r="K132"/>
          <cell r="L132"/>
        </row>
        <row r="133">
          <cell r="E133"/>
          <cell r="F133"/>
          <cell r="I133"/>
          <cell r="J133"/>
          <cell r="K133"/>
          <cell r="L133"/>
        </row>
        <row r="134">
          <cell r="E134"/>
          <cell r="F134"/>
          <cell r="I134"/>
          <cell r="J134"/>
          <cell r="K134"/>
          <cell r="L134"/>
        </row>
        <row r="135">
          <cell r="E135"/>
          <cell r="F135"/>
          <cell r="I135"/>
          <cell r="J135"/>
          <cell r="K135"/>
          <cell r="L135"/>
        </row>
        <row r="136">
          <cell r="E136"/>
          <cell r="F136"/>
          <cell r="I136"/>
          <cell r="J136"/>
          <cell r="K136"/>
          <cell r="L136"/>
        </row>
        <row r="137">
          <cell r="E137"/>
          <cell r="F137"/>
          <cell r="I137"/>
          <cell r="J137"/>
          <cell r="K137"/>
          <cell r="L137"/>
        </row>
        <row r="138">
          <cell r="E138"/>
          <cell r="F138"/>
          <cell r="I138"/>
          <cell r="J138"/>
          <cell r="K138"/>
          <cell r="L138"/>
        </row>
        <row r="139">
          <cell r="E139"/>
          <cell r="F139"/>
          <cell r="I139"/>
          <cell r="J139"/>
          <cell r="K139"/>
          <cell r="L139"/>
        </row>
        <row r="140">
          <cell r="E140"/>
          <cell r="F140"/>
          <cell r="I140"/>
          <cell r="J140"/>
          <cell r="K140"/>
          <cell r="L140"/>
        </row>
        <row r="141">
          <cell r="E141"/>
          <cell r="F141"/>
          <cell r="I141"/>
          <cell r="J141"/>
          <cell r="K141"/>
          <cell r="L141"/>
        </row>
        <row r="142">
          <cell r="E142"/>
          <cell r="F142"/>
          <cell r="I142"/>
          <cell r="J142"/>
          <cell r="K142"/>
          <cell r="L142"/>
        </row>
        <row r="143">
          <cell r="E143"/>
          <cell r="F143"/>
          <cell r="I143"/>
          <cell r="J143"/>
          <cell r="K143"/>
          <cell r="L143"/>
        </row>
        <row r="144">
          <cell r="E144"/>
          <cell r="F144"/>
          <cell r="I144"/>
          <cell r="J144"/>
          <cell r="K144"/>
          <cell r="L144"/>
        </row>
        <row r="145">
          <cell r="E145"/>
          <cell r="F145"/>
          <cell r="I145"/>
          <cell r="J145"/>
          <cell r="K145"/>
          <cell r="L145"/>
        </row>
        <row r="146">
          <cell r="E146"/>
          <cell r="F146"/>
          <cell r="I146"/>
          <cell r="J146"/>
          <cell r="K146"/>
          <cell r="L146"/>
        </row>
        <row r="147">
          <cell r="E147"/>
          <cell r="F147"/>
          <cell r="I147"/>
          <cell r="J147"/>
          <cell r="K147"/>
          <cell r="L147"/>
        </row>
        <row r="148">
          <cell r="E148"/>
          <cell r="F148"/>
          <cell r="I148"/>
          <cell r="J148"/>
          <cell r="K148"/>
          <cell r="L148"/>
        </row>
        <row r="149">
          <cell r="E149"/>
          <cell r="F149"/>
          <cell r="I149"/>
          <cell r="J149"/>
          <cell r="K149"/>
          <cell r="L149"/>
        </row>
        <row r="150">
          <cell r="E150"/>
          <cell r="F150"/>
          <cell r="I150"/>
          <cell r="J150"/>
          <cell r="K150"/>
          <cell r="L150"/>
        </row>
        <row r="151">
          <cell r="E151"/>
          <cell r="F151"/>
          <cell r="I151"/>
          <cell r="J151"/>
          <cell r="K151"/>
          <cell r="L151"/>
        </row>
        <row r="152">
          <cell r="E152"/>
          <cell r="F152"/>
          <cell r="I152"/>
          <cell r="J152"/>
          <cell r="K152"/>
          <cell r="L152"/>
        </row>
        <row r="153">
          <cell r="E153"/>
          <cell r="F153"/>
          <cell r="I153"/>
          <cell r="J153"/>
          <cell r="K153"/>
          <cell r="L153"/>
        </row>
        <row r="154">
          <cell r="E154"/>
          <cell r="F154"/>
          <cell r="I154"/>
          <cell r="J154"/>
          <cell r="K154"/>
          <cell r="L154"/>
        </row>
        <row r="155">
          <cell r="E155"/>
          <cell r="F155"/>
          <cell r="I155"/>
          <cell r="J155"/>
          <cell r="K155"/>
          <cell r="L155"/>
        </row>
        <row r="156">
          <cell r="E156"/>
          <cell r="F156"/>
          <cell r="I156"/>
          <cell r="J156"/>
          <cell r="K156"/>
          <cell r="L156"/>
        </row>
        <row r="157">
          <cell r="E157"/>
          <cell r="F157"/>
          <cell r="I157"/>
          <cell r="J157"/>
          <cell r="K157"/>
          <cell r="L157"/>
        </row>
        <row r="158">
          <cell r="E158"/>
          <cell r="F158"/>
          <cell r="I158"/>
          <cell r="J158"/>
          <cell r="K158"/>
          <cell r="L158"/>
        </row>
        <row r="159">
          <cell r="E159"/>
          <cell r="F159"/>
          <cell r="I159"/>
          <cell r="J159"/>
          <cell r="K159"/>
          <cell r="L159"/>
        </row>
        <row r="160">
          <cell r="E160"/>
          <cell r="F160"/>
          <cell r="I160"/>
          <cell r="J160"/>
          <cell r="K160"/>
          <cell r="L160"/>
        </row>
        <row r="161">
          <cell r="E161"/>
          <cell r="F161"/>
          <cell r="I161"/>
          <cell r="J161"/>
          <cell r="K161"/>
          <cell r="L161"/>
        </row>
        <row r="162">
          <cell r="E162"/>
          <cell r="F162"/>
          <cell r="I162"/>
          <cell r="J162"/>
          <cell r="K162"/>
          <cell r="L162"/>
        </row>
        <row r="163">
          <cell r="E163"/>
          <cell r="F163"/>
          <cell r="I163"/>
          <cell r="J163"/>
          <cell r="K163"/>
          <cell r="L163"/>
        </row>
        <row r="164">
          <cell r="E164"/>
          <cell r="F164"/>
          <cell r="I164"/>
          <cell r="J164"/>
          <cell r="K164"/>
          <cell r="L164"/>
        </row>
        <row r="165">
          <cell r="E165"/>
          <cell r="F165"/>
          <cell r="I165"/>
          <cell r="J165"/>
          <cell r="K165"/>
          <cell r="L165"/>
        </row>
        <row r="166">
          <cell r="E166"/>
          <cell r="F166"/>
          <cell r="I166"/>
          <cell r="J166"/>
          <cell r="K166"/>
          <cell r="L166"/>
        </row>
        <row r="167">
          <cell r="E167"/>
          <cell r="F167"/>
          <cell r="I167"/>
          <cell r="J167"/>
          <cell r="K167"/>
          <cell r="L167"/>
        </row>
        <row r="168">
          <cell r="E168"/>
          <cell r="F168"/>
          <cell r="I168"/>
          <cell r="J168"/>
          <cell r="K168"/>
          <cell r="L168"/>
        </row>
        <row r="169">
          <cell r="E169"/>
          <cell r="F169"/>
          <cell r="I169"/>
          <cell r="J169"/>
          <cell r="K169"/>
          <cell r="L169"/>
        </row>
        <row r="170">
          <cell r="E170"/>
          <cell r="F170"/>
          <cell r="I170"/>
          <cell r="J170"/>
          <cell r="K170"/>
          <cell r="L170"/>
        </row>
        <row r="171">
          <cell r="E171"/>
          <cell r="F171"/>
          <cell r="I171"/>
          <cell r="J171"/>
          <cell r="K171"/>
          <cell r="L171"/>
        </row>
        <row r="172">
          <cell r="E172"/>
          <cell r="F172"/>
          <cell r="I172"/>
          <cell r="J172"/>
          <cell r="K172"/>
          <cell r="L172"/>
        </row>
        <row r="173">
          <cell r="E173"/>
          <cell r="F173"/>
          <cell r="I173"/>
          <cell r="J173"/>
          <cell r="K173"/>
          <cell r="L173"/>
        </row>
        <row r="174">
          <cell r="E174"/>
          <cell r="F174"/>
          <cell r="I174"/>
          <cell r="J174"/>
          <cell r="K174"/>
          <cell r="L174"/>
        </row>
        <row r="175">
          <cell r="E175"/>
          <cell r="F175"/>
          <cell r="I175"/>
          <cell r="J175"/>
          <cell r="K175"/>
          <cell r="L175"/>
        </row>
        <row r="176">
          <cell r="E176"/>
          <cell r="F176"/>
          <cell r="I176"/>
          <cell r="J176"/>
          <cell r="K176"/>
          <cell r="L176"/>
        </row>
        <row r="177">
          <cell r="E177"/>
          <cell r="F177"/>
          <cell r="I177"/>
          <cell r="J177"/>
          <cell r="K177"/>
          <cell r="L177"/>
        </row>
        <row r="178">
          <cell r="E178"/>
          <cell r="F178"/>
          <cell r="I178"/>
          <cell r="J178"/>
          <cell r="K178"/>
          <cell r="L178"/>
        </row>
        <row r="179">
          <cell r="E179"/>
          <cell r="F179"/>
          <cell r="I179"/>
          <cell r="J179"/>
          <cell r="K179"/>
          <cell r="L179"/>
        </row>
        <row r="180">
          <cell r="E180"/>
          <cell r="F180"/>
          <cell r="I180"/>
          <cell r="J180"/>
          <cell r="K180"/>
          <cell r="L180"/>
        </row>
        <row r="181">
          <cell r="E181"/>
          <cell r="F181"/>
          <cell r="I181"/>
          <cell r="J181"/>
          <cell r="K181"/>
          <cell r="L181"/>
        </row>
        <row r="182">
          <cell r="E182"/>
          <cell r="F182"/>
          <cell r="I182"/>
          <cell r="J182"/>
          <cell r="K182"/>
          <cell r="L182"/>
        </row>
        <row r="183">
          <cell r="E183"/>
          <cell r="F183"/>
          <cell r="I183"/>
          <cell r="J183"/>
          <cell r="K183"/>
          <cell r="L183"/>
        </row>
        <row r="184">
          <cell r="E184"/>
          <cell r="F184"/>
          <cell r="I184"/>
          <cell r="J184"/>
          <cell r="K184"/>
          <cell r="L184"/>
        </row>
        <row r="185">
          <cell r="E185"/>
          <cell r="F185"/>
          <cell r="I185"/>
          <cell r="J185"/>
          <cell r="K185"/>
          <cell r="L185"/>
        </row>
        <row r="186">
          <cell r="E186"/>
          <cell r="F186"/>
          <cell r="I186"/>
          <cell r="J186"/>
          <cell r="K186"/>
          <cell r="L186"/>
        </row>
        <row r="187">
          <cell r="E187"/>
          <cell r="F187"/>
          <cell r="I187"/>
          <cell r="J187"/>
          <cell r="K187"/>
          <cell r="L187"/>
        </row>
        <row r="188">
          <cell r="E188"/>
          <cell r="F188"/>
          <cell r="I188"/>
          <cell r="J188"/>
          <cell r="K188"/>
          <cell r="L188"/>
        </row>
        <row r="189">
          <cell r="E189"/>
          <cell r="F189"/>
          <cell r="I189"/>
          <cell r="J189"/>
          <cell r="K189"/>
          <cell r="L189"/>
        </row>
        <row r="190">
          <cell r="E190"/>
          <cell r="F190"/>
          <cell r="I190"/>
          <cell r="J190"/>
          <cell r="K190"/>
          <cell r="L190"/>
        </row>
        <row r="191">
          <cell r="E191"/>
          <cell r="F191"/>
          <cell r="I191"/>
          <cell r="J191"/>
          <cell r="K191"/>
          <cell r="L191"/>
        </row>
        <row r="192">
          <cell r="E192"/>
          <cell r="F192"/>
          <cell r="I192"/>
          <cell r="J192"/>
          <cell r="K192"/>
          <cell r="L192"/>
        </row>
        <row r="193">
          <cell r="E193"/>
          <cell r="F193"/>
          <cell r="I193"/>
          <cell r="J193"/>
          <cell r="K193"/>
          <cell r="L193"/>
        </row>
        <row r="194">
          <cell r="E194"/>
          <cell r="F194"/>
          <cell r="I194"/>
          <cell r="J194"/>
          <cell r="K194"/>
          <cell r="L194"/>
        </row>
        <row r="195">
          <cell r="E195"/>
          <cell r="F195"/>
          <cell r="I195"/>
          <cell r="J195"/>
          <cell r="K195"/>
          <cell r="L195"/>
        </row>
        <row r="196">
          <cell r="E196"/>
          <cell r="F196"/>
          <cell r="I196"/>
          <cell r="J196"/>
          <cell r="K196"/>
          <cell r="L196"/>
        </row>
        <row r="197">
          <cell r="E197"/>
          <cell r="F197"/>
          <cell r="I197"/>
          <cell r="J197"/>
          <cell r="K197"/>
          <cell r="L197"/>
        </row>
        <row r="198">
          <cell r="E198"/>
          <cell r="F198"/>
          <cell r="I198"/>
          <cell r="J198"/>
          <cell r="K198"/>
          <cell r="L198"/>
        </row>
        <row r="199">
          <cell r="E199"/>
          <cell r="F199"/>
          <cell r="I199"/>
          <cell r="J199"/>
          <cell r="K199"/>
          <cell r="L199"/>
        </row>
        <row r="200">
          <cell r="E200"/>
          <cell r="F200"/>
          <cell r="I200"/>
          <cell r="J200"/>
          <cell r="K200"/>
          <cell r="L200"/>
        </row>
        <row r="201">
          <cell r="E201"/>
          <cell r="F201"/>
          <cell r="I201"/>
          <cell r="J201"/>
          <cell r="K201"/>
          <cell r="L201"/>
        </row>
        <row r="202">
          <cell r="E202"/>
          <cell r="F202"/>
          <cell r="I202"/>
          <cell r="J202"/>
          <cell r="K202"/>
          <cell r="L202"/>
        </row>
        <row r="203">
          <cell r="E203"/>
          <cell r="F203"/>
          <cell r="I203"/>
          <cell r="J203"/>
          <cell r="K203"/>
          <cell r="L203"/>
        </row>
        <row r="204">
          <cell r="E204"/>
          <cell r="F204"/>
          <cell r="I204"/>
          <cell r="J204"/>
          <cell r="K204"/>
          <cell r="L204"/>
        </row>
        <row r="205">
          <cell r="E205"/>
          <cell r="F205"/>
          <cell r="I205"/>
          <cell r="J205"/>
          <cell r="K205"/>
          <cell r="L205"/>
        </row>
        <row r="206">
          <cell r="E206"/>
          <cell r="F206"/>
          <cell r="I206"/>
          <cell r="J206"/>
          <cell r="K206"/>
          <cell r="L206"/>
        </row>
        <row r="207">
          <cell r="E207"/>
          <cell r="F207"/>
          <cell r="I207"/>
          <cell r="J207"/>
          <cell r="K207"/>
          <cell r="L207"/>
        </row>
        <row r="208">
          <cell r="E208"/>
          <cell r="F208"/>
          <cell r="I208"/>
          <cell r="J208"/>
          <cell r="K208"/>
          <cell r="L208"/>
        </row>
        <row r="209">
          <cell r="E209"/>
          <cell r="F209"/>
          <cell r="I209"/>
          <cell r="J209"/>
          <cell r="K209"/>
          <cell r="L209"/>
        </row>
        <row r="210">
          <cell r="E210"/>
          <cell r="F210"/>
          <cell r="I210"/>
          <cell r="J210"/>
          <cell r="K210"/>
          <cell r="L210"/>
        </row>
        <row r="211">
          <cell r="E211"/>
          <cell r="F211"/>
          <cell r="I211"/>
          <cell r="J211"/>
          <cell r="K211"/>
          <cell r="L211"/>
        </row>
        <row r="212">
          <cell r="E212"/>
          <cell r="F212"/>
          <cell r="I212"/>
          <cell r="J212"/>
          <cell r="K212"/>
          <cell r="L212"/>
        </row>
        <row r="213">
          <cell r="E213"/>
          <cell r="F213"/>
          <cell r="I213"/>
          <cell r="J213"/>
          <cell r="K213"/>
          <cell r="L213"/>
        </row>
        <row r="214">
          <cell r="E214"/>
          <cell r="F214"/>
          <cell r="I214"/>
          <cell r="J214"/>
          <cell r="K214"/>
          <cell r="L214"/>
        </row>
        <row r="215">
          <cell r="E215"/>
          <cell r="F215"/>
          <cell r="I215"/>
          <cell r="J215"/>
          <cell r="K215"/>
          <cell r="L215"/>
        </row>
        <row r="216">
          <cell r="E216"/>
          <cell r="F216"/>
          <cell r="I216"/>
          <cell r="J216"/>
          <cell r="K216"/>
          <cell r="L216"/>
        </row>
        <row r="217">
          <cell r="E217"/>
          <cell r="F217"/>
          <cell r="I217"/>
          <cell r="J217"/>
          <cell r="K217"/>
          <cell r="L217"/>
        </row>
        <row r="218">
          <cell r="E218"/>
          <cell r="F218"/>
          <cell r="I218"/>
          <cell r="J218"/>
          <cell r="K218"/>
          <cell r="L218"/>
        </row>
        <row r="219">
          <cell r="E219"/>
          <cell r="F219"/>
          <cell r="I219"/>
          <cell r="J219"/>
          <cell r="K219"/>
          <cell r="L219"/>
        </row>
        <row r="220">
          <cell r="E220"/>
          <cell r="F220"/>
          <cell r="I220"/>
          <cell r="J220"/>
          <cell r="K220"/>
          <cell r="L220"/>
        </row>
        <row r="221">
          <cell r="E221"/>
          <cell r="F221"/>
          <cell r="I221"/>
          <cell r="J221"/>
          <cell r="K221"/>
          <cell r="L221"/>
        </row>
        <row r="222">
          <cell r="E222"/>
          <cell r="F222"/>
          <cell r="I222"/>
          <cell r="J222"/>
          <cell r="K222"/>
          <cell r="L222"/>
        </row>
        <row r="223">
          <cell r="E223"/>
          <cell r="F223"/>
          <cell r="I223"/>
          <cell r="J223"/>
          <cell r="K223"/>
          <cell r="L223"/>
        </row>
        <row r="224">
          <cell r="E224"/>
          <cell r="F224"/>
          <cell r="I224"/>
          <cell r="J224"/>
          <cell r="K224"/>
          <cell r="L224"/>
        </row>
        <row r="225">
          <cell r="E225"/>
          <cell r="F225"/>
          <cell r="I225"/>
          <cell r="J225"/>
          <cell r="K225"/>
          <cell r="L225"/>
        </row>
        <row r="226">
          <cell r="E226"/>
          <cell r="F226"/>
          <cell r="I226"/>
          <cell r="J226"/>
          <cell r="K226"/>
          <cell r="L226"/>
        </row>
        <row r="227">
          <cell r="E227"/>
          <cell r="F227"/>
          <cell r="I227"/>
          <cell r="J227"/>
          <cell r="K227"/>
          <cell r="L227"/>
        </row>
        <row r="228">
          <cell r="E228"/>
          <cell r="F228"/>
          <cell r="I228"/>
          <cell r="J228"/>
          <cell r="K228"/>
          <cell r="L228"/>
        </row>
        <row r="229">
          <cell r="E229"/>
          <cell r="F229"/>
          <cell r="I229"/>
          <cell r="J229"/>
          <cell r="K229"/>
          <cell r="L229"/>
        </row>
        <row r="230">
          <cell r="E230"/>
          <cell r="F230"/>
          <cell r="I230"/>
          <cell r="J230"/>
          <cell r="K230"/>
          <cell r="L230"/>
        </row>
        <row r="231">
          <cell r="E231"/>
          <cell r="F231"/>
          <cell r="I231"/>
          <cell r="J231"/>
          <cell r="K231"/>
          <cell r="L231"/>
        </row>
        <row r="232">
          <cell r="E232"/>
          <cell r="F232"/>
          <cell r="I232"/>
          <cell r="J232"/>
          <cell r="K232"/>
          <cell r="L232"/>
        </row>
        <row r="233">
          <cell r="E233"/>
          <cell r="F233"/>
          <cell r="I233"/>
          <cell r="J233"/>
          <cell r="K233"/>
          <cell r="L233"/>
        </row>
        <row r="234">
          <cell r="E234"/>
          <cell r="F234"/>
          <cell r="I234"/>
          <cell r="J234"/>
          <cell r="K234"/>
          <cell r="L234"/>
        </row>
        <row r="235">
          <cell r="E235"/>
          <cell r="F235"/>
          <cell r="I235"/>
          <cell r="J235"/>
          <cell r="K235"/>
          <cell r="L235"/>
        </row>
        <row r="236">
          <cell r="E236"/>
          <cell r="F236"/>
          <cell r="I236"/>
          <cell r="J236"/>
          <cell r="K236"/>
          <cell r="L236"/>
        </row>
        <row r="237">
          <cell r="E237"/>
          <cell r="F237"/>
          <cell r="I237"/>
          <cell r="J237"/>
          <cell r="K237"/>
          <cell r="L237"/>
        </row>
        <row r="238">
          <cell r="E238"/>
          <cell r="F238"/>
          <cell r="I238"/>
          <cell r="J238"/>
          <cell r="K238"/>
          <cell r="L238"/>
        </row>
        <row r="239">
          <cell r="E239"/>
          <cell r="F239"/>
          <cell r="I239"/>
          <cell r="J239"/>
          <cell r="K239"/>
          <cell r="L239"/>
        </row>
        <row r="240">
          <cell r="E240"/>
          <cell r="F240"/>
          <cell r="I240"/>
          <cell r="J240"/>
          <cell r="K240"/>
          <cell r="L240"/>
        </row>
        <row r="241">
          <cell r="E241"/>
          <cell r="F241"/>
          <cell r="I241"/>
          <cell r="J241"/>
          <cell r="K241"/>
          <cell r="L241"/>
        </row>
        <row r="242">
          <cell r="E242"/>
          <cell r="F242"/>
          <cell r="I242"/>
          <cell r="J242"/>
          <cell r="K242"/>
          <cell r="L242"/>
        </row>
        <row r="243">
          <cell r="E243"/>
          <cell r="F243"/>
          <cell r="I243"/>
          <cell r="J243"/>
          <cell r="K243"/>
          <cell r="L243"/>
        </row>
        <row r="244">
          <cell r="E244"/>
          <cell r="F244"/>
          <cell r="I244"/>
          <cell r="J244"/>
          <cell r="K244"/>
          <cell r="L244"/>
        </row>
        <row r="245">
          <cell r="E245"/>
          <cell r="F245"/>
          <cell r="I245"/>
          <cell r="J245"/>
          <cell r="K245"/>
          <cell r="L245"/>
        </row>
        <row r="246">
          <cell r="E246"/>
          <cell r="F246"/>
          <cell r="I246"/>
          <cell r="J246"/>
          <cell r="K246"/>
          <cell r="L246"/>
        </row>
        <row r="247">
          <cell r="E247"/>
          <cell r="F247"/>
          <cell r="I247"/>
          <cell r="J247"/>
          <cell r="K247"/>
          <cell r="L247"/>
        </row>
        <row r="248">
          <cell r="E248"/>
          <cell r="F248"/>
          <cell r="I248"/>
          <cell r="J248"/>
          <cell r="K248"/>
          <cell r="L248"/>
        </row>
        <row r="249">
          <cell r="E249"/>
          <cell r="F249"/>
          <cell r="I249"/>
          <cell r="J249"/>
          <cell r="K249"/>
          <cell r="L249"/>
        </row>
        <row r="250">
          <cell r="E250"/>
          <cell r="F250"/>
          <cell r="I250"/>
          <cell r="J250"/>
          <cell r="K250"/>
          <cell r="L250"/>
        </row>
        <row r="251">
          <cell r="E251"/>
          <cell r="F251"/>
          <cell r="I251"/>
          <cell r="J251"/>
          <cell r="K251"/>
          <cell r="L251"/>
        </row>
        <row r="252">
          <cell r="E252"/>
          <cell r="F252"/>
          <cell r="I252"/>
          <cell r="J252"/>
          <cell r="K252"/>
          <cell r="L252"/>
        </row>
        <row r="253">
          <cell r="E253"/>
          <cell r="F253"/>
          <cell r="I253"/>
          <cell r="J253"/>
          <cell r="K253"/>
          <cell r="L253"/>
        </row>
        <row r="254">
          <cell r="E254"/>
          <cell r="F254"/>
          <cell r="I254"/>
          <cell r="J254"/>
          <cell r="K254"/>
          <cell r="L254"/>
        </row>
        <row r="255">
          <cell r="E255"/>
          <cell r="F255"/>
          <cell r="I255"/>
          <cell r="J255"/>
          <cell r="K255"/>
          <cell r="L255"/>
        </row>
        <row r="256">
          <cell r="E256"/>
          <cell r="F256"/>
          <cell r="I256"/>
          <cell r="J256"/>
          <cell r="K256"/>
          <cell r="L256"/>
        </row>
        <row r="257">
          <cell r="E257"/>
          <cell r="F257"/>
          <cell r="I257"/>
          <cell r="J257"/>
          <cell r="K257"/>
          <cell r="L257"/>
        </row>
        <row r="258">
          <cell r="E258"/>
          <cell r="F258"/>
          <cell r="I258"/>
          <cell r="J258"/>
          <cell r="K258"/>
          <cell r="L258"/>
        </row>
        <row r="259">
          <cell r="E259"/>
          <cell r="F259"/>
          <cell r="I259"/>
          <cell r="J259"/>
          <cell r="K259"/>
          <cell r="L259"/>
        </row>
        <row r="260">
          <cell r="E260"/>
          <cell r="F260"/>
          <cell r="I260"/>
          <cell r="J260"/>
          <cell r="K260"/>
          <cell r="L260"/>
        </row>
        <row r="261">
          <cell r="E261"/>
          <cell r="F261"/>
          <cell r="I261"/>
          <cell r="J261"/>
          <cell r="K261"/>
          <cell r="L261"/>
        </row>
        <row r="262">
          <cell r="E262"/>
          <cell r="F262"/>
          <cell r="I262"/>
          <cell r="J262"/>
          <cell r="K262"/>
          <cell r="L262"/>
        </row>
        <row r="263">
          <cell r="E263"/>
          <cell r="F263"/>
          <cell r="I263"/>
          <cell r="J263"/>
          <cell r="K263"/>
          <cell r="L263"/>
        </row>
        <row r="264">
          <cell r="E264"/>
          <cell r="F264"/>
          <cell r="I264"/>
          <cell r="J264"/>
          <cell r="K264"/>
          <cell r="L264"/>
        </row>
        <row r="265">
          <cell r="E265"/>
          <cell r="F265"/>
          <cell r="I265"/>
          <cell r="J265"/>
          <cell r="K265"/>
          <cell r="L265"/>
        </row>
        <row r="266">
          <cell r="E266"/>
          <cell r="F266"/>
          <cell r="I266"/>
          <cell r="J266"/>
          <cell r="K266"/>
          <cell r="L266"/>
        </row>
        <row r="267">
          <cell r="E267"/>
          <cell r="F267"/>
          <cell r="I267"/>
          <cell r="J267"/>
          <cell r="K267"/>
          <cell r="L267"/>
        </row>
        <row r="268">
          <cell r="E268"/>
          <cell r="F268"/>
          <cell r="I268"/>
          <cell r="J268"/>
          <cell r="K268"/>
          <cell r="L268"/>
        </row>
        <row r="269">
          <cell r="E269"/>
          <cell r="F269"/>
          <cell r="I269"/>
          <cell r="J269"/>
          <cell r="K269"/>
          <cell r="L269"/>
        </row>
        <row r="270">
          <cell r="E270"/>
          <cell r="F270"/>
          <cell r="I270"/>
          <cell r="J270"/>
          <cell r="K270"/>
          <cell r="L270"/>
        </row>
        <row r="271">
          <cell r="E271"/>
          <cell r="F271"/>
          <cell r="I271"/>
          <cell r="J271"/>
          <cell r="K271"/>
          <cell r="L271"/>
        </row>
        <row r="272">
          <cell r="E272"/>
          <cell r="F272"/>
          <cell r="I272"/>
          <cell r="J272"/>
          <cell r="K272"/>
          <cell r="L272"/>
        </row>
        <row r="273">
          <cell r="E273"/>
          <cell r="F273"/>
          <cell r="I273"/>
          <cell r="J273"/>
          <cell r="K273"/>
          <cell r="L273"/>
        </row>
        <row r="274">
          <cell r="E274"/>
          <cell r="F274"/>
          <cell r="I274"/>
          <cell r="J274"/>
          <cell r="K274"/>
          <cell r="L274"/>
        </row>
        <row r="275">
          <cell r="E275"/>
          <cell r="F275"/>
          <cell r="I275"/>
          <cell r="J275"/>
          <cell r="K275"/>
          <cell r="L275"/>
        </row>
        <row r="276">
          <cell r="E276"/>
          <cell r="F276"/>
          <cell r="I276"/>
          <cell r="J276"/>
          <cell r="K276"/>
          <cell r="L276"/>
        </row>
        <row r="277">
          <cell r="E277"/>
          <cell r="F277"/>
          <cell r="I277"/>
          <cell r="J277"/>
          <cell r="K277"/>
          <cell r="L277"/>
        </row>
        <row r="278">
          <cell r="E278"/>
          <cell r="F278"/>
          <cell r="I278"/>
          <cell r="J278"/>
          <cell r="K278"/>
          <cell r="L278"/>
        </row>
        <row r="279">
          <cell r="E279"/>
          <cell r="F279"/>
          <cell r="I279"/>
          <cell r="J279"/>
          <cell r="K279"/>
          <cell r="L279"/>
        </row>
        <row r="280">
          <cell r="E280"/>
          <cell r="F280"/>
          <cell r="I280"/>
          <cell r="J280"/>
          <cell r="K280"/>
          <cell r="L280"/>
        </row>
        <row r="281">
          <cell r="E281"/>
          <cell r="F281"/>
          <cell r="I281"/>
          <cell r="J281"/>
          <cell r="K281"/>
          <cell r="L281"/>
        </row>
        <row r="282">
          <cell r="E282"/>
          <cell r="F282"/>
          <cell r="I282"/>
          <cell r="J282"/>
          <cell r="K282"/>
          <cell r="L282"/>
        </row>
        <row r="283">
          <cell r="E283"/>
          <cell r="F283"/>
          <cell r="I283"/>
          <cell r="J283"/>
          <cell r="K283"/>
          <cell r="L283"/>
        </row>
        <row r="284">
          <cell r="E284"/>
          <cell r="F284"/>
          <cell r="I284"/>
          <cell r="J284"/>
          <cell r="K284"/>
          <cell r="L284"/>
        </row>
        <row r="285">
          <cell r="E285"/>
          <cell r="F285"/>
          <cell r="I285"/>
          <cell r="J285"/>
          <cell r="K285"/>
          <cell r="L285"/>
        </row>
        <row r="286">
          <cell r="E286"/>
          <cell r="F286"/>
          <cell r="I286"/>
          <cell r="J286"/>
          <cell r="K286"/>
          <cell r="L286"/>
        </row>
        <row r="287">
          <cell r="E287"/>
          <cell r="F287"/>
          <cell r="I287"/>
          <cell r="J287"/>
          <cell r="K287"/>
          <cell r="L287"/>
        </row>
        <row r="288">
          <cell r="E288"/>
          <cell r="F288"/>
          <cell r="I288"/>
          <cell r="J288"/>
          <cell r="K288"/>
          <cell r="L288"/>
        </row>
        <row r="289">
          <cell r="E289"/>
          <cell r="F289"/>
          <cell r="I289"/>
          <cell r="J289"/>
          <cell r="K289"/>
          <cell r="L289"/>
        </row>
        <row r="290">
          <cell r="E290"/>
          <cell r="F290"/>
          <cell r="I290"/>
          <cell r="J290"/>
          <cell r="K290"/>
          <cell r="L290"/>
        </row>
        <row r="291">
          <cell r="E291"/>
          <cell r="F291"/>
          <cell r="I291"/>
          <cell r="J291"/>
          <cell r="K291"/>
          <cell r="L291"/>
        </row>
        <row r="292">
          <cell r="E292"/>
          <cell r="F292"/>
          <cell r="I292"/>
          <cell r="J292"/>
          <cell r="K292"/>
          <cell r="L292"/>
        </row>
        <row r="293">
          <cell r="E293"/>
          <cell r="F293"/>
          <cell r="I293"/>
          <cell r="J293"/>
          <cell r="K293"/>
          <cell r="L293"/>
        </row>
        <row r="294">
          <cell r="E294"/>
          <cell r="F294"/>
          <cell r="I294"/>
          <cell r="J294"/>
          <cell r="K294"/>
          <cell r="L294"/>
        </row>
        <row r="295">
          <cell r="E295"/>
          <cell r="F295"/>
          <cell r="I295"/>
          <cell r="J295"/>
          <cell r="K295"/>
          <cell r="L295"/>
        </row>
        <row r="296">
          <cell r="E296"/>
          <cell r="F296"/>
          <cell r="I296"/>
          <cell r="J296"/>
          <cell r="K296"/>
          <cell r="L296"/>
        </row>
        <row r="297">
          <cell r="E297"/>
          <cell r="F297"/>
          <cell r="I297"/>
          <cell r="J297"/>
          <cell r="K297"/>
          <cell r="L297"/>
        </row>
        <row r="298">
          <cell r="E298"/>
          <cell r="F298"/>
          <cell r="I298"/>
          <cell r="J298"/>
          <cell r="K298"/>
          <cell r="L298"/>
        </row>
        <row r="299">
          <cell r="E299"/>
          <cell r="F299"/>
          <cell r="I299"/>
          <cell r="J299"/>
          <cell r="K299"/>
          <cell r="L299"/>
        </row>
        <row r="300">
          <cell r="E300"/>
          <cell r="F300"/>
          <cell r="I300"/>
          <cell r="J300"/>
          <cell r="K300"/>
          <cell r="L300"/>
        </row>
        <row r="301">
          <cell r="E301"/>
          <cell r="F301"/>
          <cell r="I301"/>
          <cell r="J301"/>
          <cell r="K301"/>
          <cell r="L301"/>
        </row>
        <row r="302">
          <cell r="E302"/>
          <cell r="F302"/>
          <cell r="I302"/>
          <cell r="J302"/>
          <cell r="K302"/>
          <cell r="L302"/>
        </row>
        <row r="303">
          <cell r="E303"/>
          <cell r="F303"/>
          <cell r="I303"/>
          <cell r="J303"/>
          <cell r="K303"/>
          <cell r="L303"/>
        </row>
        <row r="304">
          <cell r="E304"/>
          <cell r="F304"/>
          <cell r="I304"/>
          <cell r="J304"/>
          <cell r="K304"/>
          <cell r="L304"/>
        </row>
        <row r="305">
          <cell r="E305"/>
          <cell r="F305"/>
          <cell r="I305"/>
          <cell r="J305"/>
          <cell r="K305"/>
          <cell r="L305"/>
        </row>
        <row r="306">
          <cell r="E306"/>
          <cell r="F306"/>
          <cell r="I306"/>
          <cell r="J306"/>
          <cell r="K306"/>
          <cell r="L306"/>
        </row>
        <row r="307">
          <cell r="E307"/>
          <cell r="F307"/>
          <cell r="I307"/>
          <cell r="J307"/>
          <cell r="K307"/>
          <cell r="L307"/>
        </row>
        <row r="308">
          <cell r="E308"/>
          <cell r="F308"/>
          <cell r="I308"/>
          <cell r="J308"/>
          <cell r="K308"/>
          <cell r="L308"/>
        </row>
        <row r="309">
          <cell r="E309"/>
          <cell r="F309"/>
          <cell r="I309"/>
          <cell r="J309"/>
          <cell r="K309"/>
          <cell r="L309"/>
        </row>
        <row r="310">
          <cell r="E310"/>
          <cell r="F310"/>
          <cell r="I310"/>
          <cell r="J310"/>
          <cell r="K310"/>
          <cell r="L310"/>
        </row>
        <row r="311">
          <cell r="E311"/>
          <cell r="F311"/>
          <cell r="I311"/>
          <cell r="J311"/>
          <cell r="K311"/>
          <cell r="L311"/>
        </row>
        <row r="312">
          <cell r="E312"/>
          <cell r="F312"/>
          <cell r="I312"/>
          <cell r="J312"/>
          <cell r="K312"/>
          <cell r="L312"/>
        </row>
        <row r="313">
          <cell r="E313"/>
          <cell r="F313"/>
          <cell r="I313"/>
          <cell r="J313"/>
          <cell r="K313"/>
          <cell r="L313"/>
        </row>
        <row r="314">
          <cell r="E314"/>
          <cell r="F314"/>
          <cell r="I314"/>
          <cell r="J314"/>
          <cell r="K314"/>
          <cell r="L314"/>
        </row>
        <row r="315">
          <cell r="E315"/>
          <cell r="F315"/>
          <cell r="I315"/>
          <cell r="J315"/>
          <cell r="K315"/>
          <cell r="L315"/>
        </row>
        <row r="316">
          <cell r="E316"/>
          <cell r="F316"/>
          <cell r="I316"/>
          <cell r="J316"/>
          <cell r="K316"/>
          <cell r="L316"/>
        </row>
        <row r="317">
          <cell r="E317"/>
          <cell r="F317"/>
          <cell r="I317"/>
          <cell r="J317"/>
          <cell r="K317"/>
          <cell r="L317"/>
        </row>
        <row r="318">
          <cell r="E318"/>
          <cell r="F318"/>
          <cell r="I318"/>
          <cell r="J318"/>
          <cell r="K318"/>
          <cell r="L318"/>
        </row>
        <row r="319">
          <cell r="E319"/>
          <cell r="F319"/>
          <cell r="I319"/>
          <cell r="J319"/>
          <cell r="K319"/>
          <cell r="L319"/>
        </row>
        <row r="320">
          <cell r="E320"/>
          <cell r="F320"/>
          <cell r="I320"/>
          <cell r="J320"/>
          <cell r="K320"/>
          <cell r="L320"/>
        </row>
        <row r="321">
          <cell r="E321"/>
          <cell r="F321"/>
          <cell r="I321"/>
          <cell r="J321"/>
          <cell r="K321"/>
          <cell r="L321"/>
        </row>
        <row r="322">
          <cell r="E322"/>
          <cell r="F322"/>
          <cell r="I322"/>
          <cell r="J322"/>
          <cell r="K322"/>
          <cell r="L322"/>
        </row>
        <row r="323">
          <cell r="E323"/>
          <cell r="F323"/>
          <cell r="I323"/>
          <cell r="J323"/>
          <cell r="K323"/>
          <cell r="L323"/>
        </row>
        <row r="324">
          <cell r="E324"/>
          <cell r="F324"/>
          <cell r="I324"/>
          <cell r="J324"/>
          <cell r="K324"/>
          <cell r="L324"/>
        </row>
        <row r="325">
          <cell r="E325"/>
          <cell r="F325"/>
          <cell r="I325"/>
          <cell r="J325"/>
          <cell r="K325"/>
          <cell r="L325"/>
        </row>
        <row r="326">
          <cell r="E326"/>
          <cell r="F326"/>
          <cell r="I326"/>
          <cell r="J326"/>
          <cell r="K326"/>
          <cell r="L326"/>
        </row>
        <row r="327">
          <cell r="E327"/>
          <cell r="F327"/>
          <cell r="I327"/>
          <cell r="J327"/>
          <cell r="K327"/>
          <cell r="L327"/>
        </row>
        <row r="328">
          <cell r="E328"/>
          <cell r="F328"/>
          <cell r="I328"/>
          <cell r="J328"/>
          <cell r="K328"/>
          <cell r="L328"/>
        </row>
        <row r="329">
          <cell r="E329"/>
          <cell r="F329"/>
          <cell r="I329"/>
          <cell r="J329"/>
          <cell r="K329"/>
          <cell r="L329"/>
        </row>
        <row r="330">
          <cell r="E330"/>
          <cell r="F330"/>
          <cell r="I330"/>
          <cell r="J330"/>
          <cell r="K330"/>
          <cell r="L330"/>
        </row>
        <row r="331">
          <cell r="E331"/>
          <cell r="F331"/>
          <cell r="I331"/>
          <cell r="J331"/>
          <cell r="K331"/>
          <cell r="L331"/>
        </row>
        <row r="332">
          <cell r="E332"/>
          <cell r="F332"/>
          <cell r="I332"/>
          <cell r="J332"/>
          <cell r="K332"/>
          <cell r="L332"/>
        </row>
        <row r="333">
          <cell r="E333"/>
          <cell r="F333"/>
          <cell r="I333"/>
          <cell r="J333"/>
          <cell r="K333"/>
          <cell r="L333"/>
        </row>
        <row r="334">
          <cell r="E334"/>
          <cell r="F334"/>
          <cell r="I334"/>
          <cell r="J334"/>
          <cell r="K334"/>
          <cell r="L334"/>
        </row>
        <row r="335">
          <cell r="E335"/>
          <cell r="F335"/>
          <cell r="I335"/>
          <cell r="J335"/>
          <cell r="K335"/>
          <cell r="L335"/>
        </row>
        <row r="336">
          <cell r="E336"/>
          <cell r="F336"/>
          <cell r="I336"/>
          <cell r="J336"/>
          <cell r="K336"/>
          <cell r="L336"/>
        </row>
        <row r="337">
          <cell r="E337"/>
          <cell r="F337"/>
          <cell r="I337"/>
          <cell r="J337"/>
          <cell r="K337"/>
          <cell r="L337"/>
        </row>
        <row r="338">
          <cell r="E338"/>
          <cell r="F338"/>
          <cell r="I338"/>
          <cell r="J338"/>
          <cell r="K338"/>
          <cell r="L338"/>
        </row>
        <row r="339">
          <cell r="E339"/>
          <cell r="F339"/>
          <cell r="I339"/>
          <cell r="J339"/>
          <cell r="K339"/>
          <cell r="L339"/>
        </row>
        <row r="340">
          <cell r="E340"/>
          <cell r="F340"/>
          <cell r="I340"/>
          <cell r="J340"/>
          <cell r="K340"/>
          <cell r="L340"/>
        </row>
        <row r="341">
          <cell r="E341"/>
          <cell r="F341"/>
          <cell r="I341"/>
          <cell r="J341"/>
          <cell r="K341"/>
          <cell r="L341"/>
        </row>
        <row r="342">
          <cell r="E342"/>
          <cell r="F342"/>
          <cell r="I342"/>
          <cell r="J342"/>
          <cell r="K342"/>
          <cell r="L342"/>
        </row>
        <row r="343">
          <cell r="E343"/>
          <cell r="F343"/>
          <cell r="I343"/>
          <cell r="J343"/>
          <cell r="K343"/>
          <cell r="L343"/>
        </row>
        <row r="344">
          <cell r="E344"/>
          <cell r="F344"/>
          <cell r="I344"/>
          <cell r="J344"/>
          <cell r="K344"/>
          <cell r="L344"/>
        </row>
        <row r="345">
          <cell r="E345"/>
          <cell r="F345"/>
          <cell r="I345"/>
          <cell r="J345"/>
          <cell r="K345"/>
          <cell r="L345"/>
        </row>
        <row r="346">
          <cell r="E346"/>
          <cell r="F346"/>
          <cell r="I346"/>
          <cell r="J346"/>
          <cell r="K346"/>
          <cell r="L346"/>
        </row>
        <row r="347">
          <cell r="E347"/>
          <cell r="F347"/>
          <cell r="I347"/>
          <cell r="J347"/>
          <cell r="K347"/>
          <cell r="L347"/>
        </row>
        <row r="348">
          <cell r="E348"/>
          <cell r="F348"/>
          <cell r="I348"/>
          <cell r="J348"/>
          <cell r="K348"/>
          <cell r="L348"/>
        </row>
        <row r="349">
          <cell r="E349"/>
          <cell r="F349"/>
          <cell r="I349"/>
          <cell r="J349"/>
          <cell r="K349"/>
          <cell r="L349"/>
        </row>
        <row r="350">
          <cell r="E350"/>
          <cell r="F350"/>
          <cell r="I350"/>
          <cell r="J350"/>
          <cell r="K350"/>
          <cell r="L350"/>
        </row>
        <row r="351">
          <cell r="E351"/>
          <cell r="F351"/>
          <cell r="I351"/>
          <cell r="J351"/>
          <cell r="K351"/>
          <cell r="L351"/>
        </row>
        <row r="352">
          <cell r="E352"/>
          <cell r="F352"/>
          <cell r="I352"/>
          <cell r="J352"/>
          <cell r="K352"/>
          <cell r="L352"/>
        </row>
        <row r="353">
          <cell r="E353"/>
          <cell r="F353"/>
          <cell r="I353"/>
          <cell r="J353"/>
          <cell r="K353"/>
          <cell r="L353"/>
        </row>
        <row r="354">
          <cell r="E354"/>
          <cell r="F354"/>
          <cell r="I354"/>
          <cell r="J354"/>
          <cell r="K354"/>
          <cell r="L354"/>
        </row>
        <row r="355">
          <cell r="E355"/>
          <cell r="F355"/>
          <cell r="I355"/>
          <cell r="J355"/>
          <cell r="K355"/>
          <cell r="L355"/>
        </row>
        <row r="356">
          <cell r="E356"/>
          <cell r="F356"/>
          <cell r="I356"/>
          <cell r="J356"/>
          <cell r="K356"/>
          <cell r="L356"/>
        </row>
        <row r="357">
          <cell r="E357"/>
          <cell r="F357"/>
          <cell r="I357"/>
          <cell r="J357"/>
          <cell r="K357"/>
          <cell r="L357"/>
        </row>
        <row r="358">
          <cell r="E358"/>
          <cell r="F358"/>
          <cell r="I358"/>
          <cell r="J358"/>
          <cell r="K358"/>
          <cell r="L358"/>
        </row>
        <row r="359">
          <cell r="E359"/>
          <cell r="F359"/>
          <cell r="I359"/>
          <cell r="J359"/>
          <cell r="K359"/>
          <cell r="L359"/>
        </row>
        <row r="360">
          <cell r="E360"/>
          <cell r="F360"/>
          <cell r="I360"/>
          <cell r="J360"/>
          <cell r="K360"/>
          <cell r="L360"/>
        </row>
        <row r="361">
          <cell r="E361"/>
          <cell r="F361"/>
          <cell r="I361"/>
          <cell r="J361"/>
          <cell r="K361"/>
          <cell r="L361"/>
        </row>
        <row r="362">
          <cell r="E362"/>
          <cell r="F362"/>
          <cell r="I362"/>
          <cell r="J362"/>
          <cell r="K362"/>
          <cell r="L362"/>
        </row>
        <row r="363">
          <cell r="E363"/>
          <cell r="F363"/>
          <cell r="I363"/>
          <cell r="J363"/>
          <cell r="K363"/>
          <cell r="L363"/>
        </row>
        <row r="364">
          <cell r="E364"/>
          <cell r="F364"/>
          <cell r="I364"/>
          <cell r="J364"/>
          <cell r="K364"/>
          <cell r="L364"/>
        </row>
        <row r="365">
          <cell r="E365"/>
          <cell r="F365"/>
          <cell r="I365"/>
          <cell r="J365"/>
          <cell r="K365"/>
          <cell r="L365"/>
        </row>
        <row r="366">
          <cell r="E366"/>
          <cell r="F366"/>
          <cell r="I366"/>
          <cell r="J366"/>
          <cell r="K366"/>
          <cell r="L366"/>
        </row>
        <row r="367">
          <cell r="E367"/>
          <cell r="F367"/>
          <cell r="I367"/>
          <cell r="J367"/>
          <cell r="K367"/>
          <cell r="L367"/>
        </row>
        <row r="368">
          <cell r="E368"/>
          <cell r="F368"/>
          <cell r="I368"/>
          <cell r="J368"/>
          <cell r="K368"/>
          <cell r="L368"/>
        </row>
        <row r="369">
          <cell r="E369"/>
          <cell r="F369"/>
          <cell r="I369"/>
          <cell r="J369"/>
          <cell r="K369"/>
          <cell r="L369"/>
        </row>
        <row r="370">
          <cell r="E370"/>
          <cell r="F370"/>
          <cell r="I370"/>
          <cell r="J370"/>
          <cell r="K370"/>
          <cell r="L370"/>
        </row>
        <row r="371">
          <cell r="E371"/>
          <cell r="F371"/>
          <cell r="I371"/>
          <cell r="J371"/>
          <cell r="K371"/>
          <cell r="L371"/>
        </row>
        <row r="372">
          <cell r="E372"/>
          <cell r="F372"/>
          <cell r="I372"/>
          <cell r="J372"/>
          <cell r="K372"/>
          <cell r="L372"/>
        </row>
        <row r="373">
          <cell r="E373"/>
          <cell r="F373"/>
          <cell r="I373"/>
          <cell r="J373"/>
          <cell r="K373"/>
          <cell r="L373"/>
        </row>
        <row r="374">
          <cell r="E374"/>
          <cell r="F374"/>
          <cell r="I374"/>
          <cell r="J374"/>
          <cell r="K374"/>
          <cell r="L374"/>
        </row>
        <row r="375">
          <cell r="E375"/>
          <cell r="F375"/>
          <cell r="I375"/>
          <cell r="J375"/>
          <cell r="K375"/>
          <cell r="L375"/>
        </row>
        <row r="376">
          <cell r="E376"/>
          <cell r="F376"/>
          <cell r="I376"/>
          <cell r="J376"/>
          <cell r="K376"/>
          <cell r="L376"/>
        </row>
        <row r="377">
          <cell r="E377"/>
          <cell r="F377"/>
          <cell r="I377"/>
          <cell r="J377"/>
          <cell r="K377"/>
          <cell r="L377"/>
        </row>
        <row r="378">
          <cell r="E378"/>
          <cell r="F378"/>
          <cell r="I378"/>
          <cell r="J378"/>
          <cell r="K378"/>
          <cell r="L378"/>
        </row>
        <row r="379">
          <cell r="E379"/>
          <cell r="F379"/>
          <cell r="I379"/>
          <cell r="J379"/>
          <cell r="K379"/>
          <cell r="L379"/>
        </row>
        <row r="380">
          <cell r="E380"/>
          <cell r="F380"/>
          <cell r="I380"/>
          <cell r="J380"/>
          <cell r="K380"/>
          <cell r="L380"/>
        </row>
        <row r="381">
          <cell r="E381"/>
          <cell r="F381"/>
          <cell r="I381"/>
          <cell r="J381"/>
          <cell r="K381"/>
          <cell r="L381"/>
        </row>
        <row r="382">
          <cell r="E382"/>
          <cell r="F382"/>
          <cell r="I382"/>
          <cell r="J382"/>
          <cell r="K382"/>
          <cell r="L382"/>
        </row>
        <row r="383">
          <cell r="E383"/>
          <cell r="F383"/>
          <cell r="I383"/>
          <cell r="J383"/>
          <cell r="K383"/>
          <cell r="L383"/>
        </row>
        <row r="384">
          <cell r="E384"/>
          <cell r="F384"/>
          <cell r="I384"/>
          <cell r="J384"/>
          <cell r="K384"/>
          <cell r="L384"/>
        </row>
        <row r="385">
          <cell r="E385"/>
          <cell r="F385"/>
          <cell r="I385"/>
          <cell r="J385"/>
          <cell r="K385"/>
          <cell r="L385"/>
        </row>
        <row r="386">
          <cell r="E386"/>
          <cell r="F386"/>
          <cell r="I386"/>
          <cell r="J386"/>
          <cell r="K386"/>
          <cell r="L386"/>
        </row>
        <row r="387">
          <cell r="E387"/>
          <cell r="F387"/>
          <cell r="I387"/>
          <cell r="J387"/>
          <cell r="K387"/>
          <cell r="L387"/>
        </row>
        <row r="388">
          <cell r="E388"/>
          <cell r="F388"/>
          <cell r="I388"/>
          <cell r="J388"/>
          <cell r="K388"/>
          <cell r="L388"/>
        </row>
        <row r="389">
          <cell r="E389"/>
          <cell r="F389"/>
          <cell r="I389"/>
          <cell r="J389"/>
          <cell r="K389"/>
          <cell r="L389"/>
        </row>
        <row r="390">
          <cell r="E390"/>
          <cell r="F390"/>
          <cell r="I390"/>
          <cell r="J390"/>
          <cell r="K390"/>
          <cell r="L390"/>
        </row>
        <row r="391">
          <cell r="E391"/>
          <cell r="F391"/>
          <cell r="I391"/>
          <cell r="J391"/>
          <cell r="K391"/>
          <cell r="L391"/>
        </row>
        <row r="392">
          <cell r="E392"/>
          <cell r="F392"/>
          <cell r="I392"/>
          <cell r="J392"/>
          <cell r="K392"/>
          <cell r="L392"/>
        </row>
        <row r="393">
          <cell r="E393"/>
          <cell r="F393"/>
          <cell r="I393"/>
          <cell r="J393"/>
          <cell r="K393"/>
          <cell r="L393"/>
        </row>
        <row r="394">
          <cell r="E394"/>
          <cell r="F394"/>
          <cell r="I394"/>
          <cell r="J394"/>
          <cell r="K394"/>
          <cell r="L394"/>
        </row>
        <row r="395">
          <cell r="E395"/>
          <cell r="F395"/>
          <cell r="I395"/>
          <cell r="J395"/>
          <cell r="K395"/>
          <cell r="L395"/>
        </row>
        <row r="396">
          <cell r="E396"/>
          <cell r="F396"/>
          <cell r="I396"/>
          <cell r="J396"/>
          <cell r="K396"/>
          <cell r="L396"/>
        </row>
        <row r="397">
          <cell r="E397"/>
          <cell r="F397"/>
          <cell r="I397"/>
          <cell r="J397"/>
          <cell r="K397"/>
          <cell r="L397"/>
        </row>
        <row r="398">
          <cell r="E398"/>
          <cell r="F398"/>
          <cell r="I398"/>
          <cell r="J398"/>
          <cell r="K398"/>
          <cell r="L398"/>
        </row>
        <row r="399">
          <cell r="E399"/>
          <cell r="F399"/>
          <cell r="I399"/>
          <cell r="J399"/>
          <cell r="K399"/>
          <cell r="L399"/>
        </row>
        <row r="400">
          <cell r="E400"/>
          <cell r="F400"/>
          <cell r="I400"/>
          <cell r="J400"/>
          <cell r="K400"/>
          <cell r="L400"/>
        </row>
        <row r="401">
          <cell r="E401"/>
          <cell r="F401"/>
          <cell r="I401"/>
          <cell r="J401"/>
          <cell r="K401"/>
          <cell r="L401"/>
        </row>
        <row r="402">
          <cell r="E402"/>
          <cell r="F402"/>
          <cell r="I402"/>
          <cell r="J402"/>
          <cell r="K402"/>
          <cell r="L402"/>
        </row>
        <row r="403">
          <cell r="E403"/>
          <cell r="F403"/>
          <cell r="I403"/>
          <cell r="J403"/>
          <cell r="K403"/>
          <cell r="L403"/>
        </row>
        <row r="404">
          <cell r="E404"/>
          <cell r="F404"/>
          <cell r="I404"/>
          <cell r="J404"/>
          <cell r="K404"/>
          <cell r="L404"/>
        </row>
        <row r="405">
          <cell r="E405"/>
          <cell r="F405"/>
          <cell r="I405"/>
          <cell r="J405"/>
          <cell r="K405"/>
          <cell r="L405"/>
        </row>
        <row r="406">
          <cell r="E406"/>
          <cell r="F406"/>
          <cell r="I406"/>
          <cell r="J406"/>
          <cell r="K406"/>
          <cell r="L406"/>
        </row>
        <row r="407">
          <cell r="E407"/>
          <cell r="F407"/>
          <cell r="I407"/>
          <cell r="J407"/>
          <cell r="K407"/>
          <cell r="L407"/>
        </row>
        <row r="408">
          <cell r="E408"/>
          <cell r="F408"/>
          <cell r="I408"/>
          <cell r="J408"/>
          <cell r="K408"/>
          <cell r="L408"/>
        </row>
        <row r="409">
          <cell r="E409"/>
          <cell r="F409"/>
          <cell r="I409"/>
          <cell r="J409"/>
          <cell r="K409"/>
          <cell r="L409"/>
        </row>
        <row r="410">
          <cell r="E410"/>
          <cell r="F410"/>
          <cell r="I410"/>
          <cell r="J410"/>
          <cell r="K410"/>
          <cell r="L410"/>
        </row>
        <row r="411">
          <cell r="E411"/>
          <cell r="F411"/>
          <cell r="I411"/>
          <cell r="J411"/>
          <cell r="K411"/>
          <cell r="L411"/>
        </row>
        <row r="412">
          <cell r="E412"/>
          <cell r="F412"/>
          <cell r="I412"/>
          <cell r="J412"/>
          <cell r="K412"/>
          <cell r="L412"/>
        </row>
        <row r="413">
          <cell r="E413"/>
          <cell r="F413"/>
          <cell r="I413"/>
          <cell r="J413"/>
          <cell r="K413"/>
          <cell r="L413"/>
        </row>
        <row r="414">
          <cell r="E414"/>
          <cell r="F414"/>
          <cell r="I414"/>
          <cell r="J414"/>
          <cell r="K414"/>
          <cell r="L414"/>
        </row>
        <row r="415">
          <cell r="E415"/>
          <cell r="F415"/>
          <cell r="I415"/>
          <cell r="J415"/>
          <cell r="K415"/>
          <cell r="L415"/>
        </row>
        <row r="416">
          <cell r="E416"/>
          <cell r="F416"/>
          <cell r="I416"/>
          <cell r="J416"/>
          <cell r="K416"/>
          <cell r="L416"/>
        </row>
        <row r="417">
          <cell r="E417"/>
          <cell r="F417"/>
          <cell r="I417"/>
          <cell r="J417"/>
          <cell r="K417"/>
          <cell r="L417"/>
        </row>
        <row r="418">
          <cell r="E418"/>
          <cell r="F418"/>
          <cell r="I418"/>
          <cell r="J418"/>
          <cell r="K418"/>
          <cell r="L418"/>
        </row>
        <row r="419">
          <cell r="E419"/>
          <cell r="F419"/>
          <cell r="I419"/>
          <cell r="J419"/>
          <cell r="K419"/>
          <cell r="L419"/>
        </row>
        <row r="420">
          <cell r="E420"/>
          <cell r="F420"/>
          <cell r="I420"/>
          <cell r="J420"/>
          <cell r="K420"/>
          <cell r="L420"/>
        </row>
        <row r="421">
          <cell r="E421"/>
          <cell r="F421"/>
          <cell r="I421"/>
          <cell r="J421"/>
          <cell r="K421"/>
          <cell r="L421"/>
        </row>
        <row r="422">
          <cell r="E422"/>
          <cell r="F422"/>
          <cell r="I422"/>
          <cell r="J422"/>
          <cell r="K422"/>
          <cell r="L422"/>
        </row>
        <row r="423">
          <cell r="E423"/>
          <cell r="F423"/>
          <cell r="I423"/>
          <cell r="J423"/>
          <cell r="K423"/>
          <cell r="L423"/>
        </row>
        <row r="424">
          <cell r="E424"/>
          <cell r="F424"/>
          <cell r="I424"/>
          <cell r="J424"/>
          <cell r="K424"/>
          <cell r="L424"/>
        </row>
        <row r="425">
          <cell r="E425"/>
          <cell r="F425"/>
          <cell r="I425"/>
          <cell r="J425"/>
          <cell r="K425"/>
          <cell r="L425"/>
        </row>
        <row r="426">
          <cell r="E426"/>
          <cell r="F426"/>
          <cell r="I426"/>
          <cell r="J426"/>
          <cell r="K426"/>
          <cell r="L426"/>
        </row>
        <row r="427">
          <cell r="E427"/>
          <cell r="F427"/>
          <cell r="I427"/>
          <cell r="J427"/>
          <cell r="K427"/>
          <cell r="L427"/>
        </row>
        <row r="428">
          <cell r="E428"/>
          <cell r="F428"/>
          <cell r="I428"/>
          <cell r="J428"/>
          <cell r="K428"/>
          <cell r="L428"/>
        </row>
        <row r="429">
          <cell r="E429"/>
          <cell r="F429"/>
          <cell r="I429"/>
          <cell r="J429"/>
          <cell r="K429"/>
          <cell r="L429"/>
        </row>
        <row r="430">
          <cell r="E430"/>
          <cell r="F430"/>
          <cell r="I430"/>
          <cell r="J430"/>
          <cell r="K430"/>
          <cell r="L430"/>
        </row>
        <row r="431">
          <cell r="E431"/>
          <cell r="F431"/>
          <cell r="I431"/>
          <cell r="J431"/>
          <cell r="K431"/>
          <cell r="L431"/>
        </row>
        <row r="432">
          <cell r="E432"/>
          <cell r="F432"/>
          <cell r="I432"/>
          <cell r="J432"/>
          <cell r="K432"/>
          <cell r="L432"/>
        </row>
        <row r="433">
          <cell r="E433"/>
          <cell r="F433"/>
          <cell r="I433"/>
          <cell r="J433"/>
          <cell r="K433"/>
          <cell r="L433"/>
        </row>
        <row r="434">
          <cell r="E434"/>
          <cell r="F434"/>
          <cell r="I434"/>
          <cell r="J434"/>
          <cell r="K434"/>
          <cell r="L434"/>
        </row>
        <row r="435">
          <cell r="E435"/>
          <cell r="F435"/>
          <cell r="I435"/>
          <cell r="J435"/>
          <cell r="K435"/>
          <cell r="L435"/>
        </row>
        <row r="436">
          <cell r="E436"/>
          <cell r="F436"/>
          <cell r="I436"/>
          <cell r="J436"/>
          <cell r="K436"/>
          <cell r="L436"/>
        </row>
        <row r="437">
          <cell r="E437"/>
          <cell r="F437"/>
          <cell r="I437"/>
          <cell r="J437"/>
          <cell r="K437"/>
          <cell r="L437"/>
        </row>
        <row r="438">
          <cell r="E438"/>
          <cell r="F438"/>
          <cell r="I438"/>
          <cell r="J438"/>
          <cell r="K438"/>
          <cell r="L438"/>
        </row>
        <row r="439">
          <cell r="E439"/>
          <cell r="F439"/>
          <cell r="I439"/>
          <cell r="J439"/>
          <cell r="K439"/>
          <cell r="L439"/>
        </row>
        <row r="440">
          <cell r="E440"/>
          <cell r="F440"/>
          <cell r="I440"/>
          <cell r="J440"/>
          <cell r="K440"/>
          <cell r="L440"/>
        </row>
        <row r="441">
          <cell r="E441"/>
          <cell r="F441"/>
          <cell r="I441"/>
          <cell r="J441"/>
          <cell r="K441"/>
          <cell r="L441"/>
        </row>
        <row r="442">
          <cell r="E442"/>
          <cell r="F442"/>
          <cell r="I442"/>
          <cell r="J442"/>
          <cell r="K442"/>
          <cell r="L442"/>
        </row>
        <row r="443">
          <cell r="E443"/>
          <cell r="F443"/>
          <cell r="I443"/>
          <cell r="J443"/>
          <cell r="K443"/>
          <cell r="L443"/>
        </row>
        <row r="444">
          <cell r="E444"/>
          <cell r="F444"/>
          <cell r="I444"/>
          <cell r="J444"/>
          <cell r="K444"/>
          <cell r="L444"/>
        </row>
        <row r="445">
          <cell r="E445"/>
          <cell r="F445"/>
          <cell r="I445"/>
          <cell r="J445"/>
          <cell r="K445"/>
          <cell r="L445"/>
        </row>
        <row r="446">
          <cell r="E446"/>
          <cell r="F446"/>
          <cell r="I446"/>
          <cell r="J446"/>
          <cell r="K446"/>
          <cell r="L446"/>
        </row>
        <row r="447">
          <cell r="E447"/>
          <cell r="F447"/>
          <cell r="I447"/>
          <cell r="J447"/>
          <cell r="K447"/>
          <cell r="L447"/>
        </row>
        <row r="448">
          <cell r="E448"/>
          <cell r="F448"/>
          <cell r="I448"/>
          <cell r="J448"/>
          <cell r="K448"/>
          <cell r="L448"/>
        </row>
        <row r="449">
          <cell r="E449"/>
          <cell r="F449"/>
          <cell r="I449"/>
          <cell r="J449"/>
          <cell r="K449"/>
          <cell r="L449"/>
        </row>
        <row r="450">
          <cell r="E450"/>
          <cell r="F450"/>
          <cell r="I450"/>
          <cell r="J450"/>
          <cell r="K450"/>
          <cell r="L450"/>
        </row>
        <row r="451">
          <cell r="E451"/>
          <cell r="F451"/>
          <cell r="I451"/>
          <cell r="J451"/>
          <cell r="K451"/>
          <cell r="L451"/>
        </row>
        <row r="452">
          <cell r="E452"/>
          <cell r="F452"/>
          <cell r="I452"/>
          <cell r="J452"/>
          <cell r="K452"/>
          <cell r="L452"/>
        </row>
        <row r="453">
          <cell r="E453"/>
          <cell r="F453"/>
          <cell r="I453"/>
          <cell r="J453"/>
          <cell r="K453"/>
          <cell r="L453"/>
        </row>
        <row r="454">
          <cell r="E454"/>
          <cell r="F454"/>
          <cell r="I454"/>
          <cell r="J454"/>
          <cell r="K454"/>
          <cell r="L454"/>
        </row>
        <row r="455">
          <cell r="E455"/>
          <cell r="F455"/>
          <cell r="I455"/>
          <cell r="J455"/>
          <cell r="K455"/>
          <cell r="L455"/>
        </row>
        <row r="456">
          <cell r="E456"/>
          <cell r="F456"/>
          <cell r="I456"/>
          <cell r="J456"/>
          <cell r="K456"/>
          <cell r="L456"/>
        </row>
        <row r="457">
          <cell r="E457"/>
          <cell r="F457"/>
          <cell r="I457"/>
          <cell r="J457"/>
          <cell r="K457"/>
          <cell r="L457"/>
        </row>
        <row r="458">
          <cell r="E458"/>
          <cell r="F458"/>
          <cell r="I458"/>
          <cell r="J458"/>
          <cell r="K458"/>
          <cell r="L458"/>
        </row>
        <row r="459">
          <cell r="E459"/>
          <cell r="F459"/>
          <cell r="I459"/>
          <cell r="J459"/>
          <cell r="K459"/>
          <cell r="L459"/>
        </row>
        <row r="460">
          <cell r="E460"/>
          <cell r="F460"/>
          <cell r="I460"/>
          <cell r="J460"/>
          <cell r="K460"/>
          <cell r="L460"/>
        </row>
        <row r="461">
          <cell r="E461"/>
          <cell r="F461"/>
          <cell r="I461"/>
          <cell r="J461"/>
          <cell r="K461"/>
          <cell r="L461"/>
        </row>
        <row r="462">
          <cell r="E462"/>
          <cell r="F462"/>
          <cell r="I462"/>
          <cell r="J462"/>
          <cell r="K462"/>
          <cell r="L462"/>
        </row>
        <row r="463">
          <cell r="E463"/>
          <cell r="F463"/>
          <cell r="I463"/>
          <cell r="J463"/>
          <cell r="K463"/>
          <cell r="L463"/>
        </row>
        <row r="464">
          <cell r="E464"/>
          <cell r="F464"/>
          <cell r="I464"/>
          <cell r="J464"/>
          <cell r="K464"/>
          <cell r="L464"/>
        </row>
        <row r="465">
          <cell r="E465"/>
          <cell r="F465"/>
          <cell r="I465"/>
          <cell r="J465"/>
          <cell r="K465"/>
          <cell r="L465"/>
        </row>
        <row r="466">
          <cell r="E466"/>
          <cell r="F466"/>
          <cell r="I466"/>
          <cell r="J466"/>
          <cell r="K466"/>
          <cell r="L466"/>
        </row>
        <row r="467">
          <cell r="E467"/>
          <cell r="F467"/>
          <cell r="I467"/>
          <cell r="J467"/>
          <cell r="K467"/>
          <cell r="L467"/>
        </row>
        <row r="468">
          <cell r="E468"/>
          <cell r="F468"/>
          <cell r="I468"/>
          <cell r="J468"/>
          <cell r="K468"/>
          <cell r="L468"/>
        </row>
        <row r="469">
          <cell r="E469"/>
          <cell r="F469"/>
          <cell r="I469"/>
          <cell r="J469"/>
          <cell r="K469"/>
          <cell r="L469"/>
        </row>
        <row r="470">
          <cell r="E470"/>
          <cell r="F470"/>
          <cell r="I470"/>
          <cell r="J470"/>
          <cell r="K470"/>
          <cell r="L470"/>
        </row>
        <row r="471">
          <cell r="E471"/>
          <cell r="F471"/>
          <cell r="I471"/>
          <cell r="J471"/>
          <cell r="K471"/>
          <cell r="L471"/>
        </row>
        <row r="472">
          <cell r="E472"/>
          <cell r="F472"/>
          <cell r="I472"/>
          <cell r="J472"/>
          <cell r="K472"/>
          <cell r="L472"/>
        </row>
        <row r="473">
          <cell r="E473"/>
          <cell r="F473"/>
          <cell r="I473"/>
          <cell r="J473"/>
          <cell r="K473"/>
          <cell r="L473"/>
        </row>
        <row r="474">
          <cell r="E474"/>
          <cell r="F474"/>
          <cell r="I474"/>
          <cell r="J474"/>
          <cell r="K474"/>
          <cell r="L474"/>
        </row>
        <row r="475">
          <cell r="E475"/>
          <cell r="F475"/>
          <cell r="I475"/>
          <cell r="J475"/>
          <cell r="K475"/>
          <cell r="L475"/>
        </row>
        <row r="476">
          <cell r="E476"/>
          <cell r="F476"/>
          <cell r="I476"/>
          <cell r="J476"/>
          <cell r="K476"/>
          <cell r="L476"/>
        </row>
        <row r="477">
          <cell r="E477"/>
          <cell r="F477"/>
          <cell r="I477"/>
          <cell r="J477"/>
          <cell r="K477"/>
          <cell r="L477"/>
        </row>
        <row r="478">
          <cell r="E478"/>
          <cell r="F478"/>
          <cell r="I478"/>
          <cell r="J478"/>
          <cell r="K478"/>
          <cell r="L478"/>
        </row>
        <row r="479">
          <cell r="E479"/>
          <cell r="F479"/>
          <cell r="I479"/>
          <cell r="J479"/>
          <cell r="K479"/>
          <cell r="L479"/>
        </row>
        <row r="480">
          <cell r="E480"/>
          <cell r="F480"/>
          <cell r="I480"/>
          <cell r="J480"/>
          <cell r="K480"/>
          <cell r="L480"/>
        </row>
        <row r="481">
          <cell r="E481"/>
          <cell r="F481"/>
          <cell r="I481"/>
          <cell r="J481"/>
          <cell r="K481"/>
          <cell r="L481"/>
        </row>
        <row r="482">
          <cell r="E482"/>
          <cell r="F482"/>
          <cell r="I482"/>
          <cell r="J482"/>
          <cell r="K482"/>
          <cell r="L482"/>
        </row>
        <row r="483">
          <cell r="E483"/>
          <cell r="F483"/>
          <cell r="I483"/>
          <cell r="J483"/>
          <cell r="K483"/>
          <cell r="L483"/>
        </row>
        <row r="484">
          <cell r="E484"/>
          <cell r="F484"/>
          <cell r="I484"/>
          <cell r="J484"/>
          <cell r="K484"/>
          <cell r="L484"/>
        </row>
        <row r="485">
          <cell r="E485"/>
          <cell r="F485"/>
          <cell r="I485"/>
          <cell r="J485"/>
          <cell r="K485"/>
          <cell r="L485"/>
        </row>
        <row r="486">
          <cell r="E486"/>
          <cell r="F486"/>
          <cell r="I486"/>
          <cell r="J486"/>
          <cell r="K486"/>
          <cell r="L486"/>
        </row>
        <row r="487">
          <cell r="E487"/>
          <cell r="F487"/>
          <cell r="I487"/>
          <cell r="J487"/>
          <cell r="K487"/>
          <cell r="L487"/>
        </row>
        <row r="488">
          <cell r="E488"/>
          <cell r="F488"/>
          <cell r="I488"/>
          <cell r="J488"/>
          <cell r="K488"/>
          <cell r="L488"/>
        </row>
        <row r="489">
          <cell r="E489"/>
          <cell r="F489"/>
          <cell r="I489"/>
          <cell r="J489"/>
          <cell r="K489"/>
          <cell r="L489"/>
        </row>
        <row r="490">
          <cell r="E490"/>
          <cell r="F490"/>
          <cell r="I490"/>
          <cell r="J490"/>
          <cell r="K490"/>
          <cell r="L490"/>
        </row>
        <row r="491">
          <cell r="E491"/>
          <cell r="F491"/>
          <cell r="I491"/>
          <cell r="J491"/>
          <cell r="K491"/>
          <cell r="L491"/>
        </row>
        <row r="492">
          <cell r="E492"/>
          <cell r="F492"/>
          <cell r="I492"/>
          <cell r="J492"/>
          <cell r="K492"/>
          <cell r="L492"/>
        </row>
        <row r="493">
          <cell r="E493"/>
          <cell r="F493"/>
          <cell r="I493"/>
          <cell r="J493"/>
          <cell r="K493"/>
          <cell r="L493"/>
        </row>
        <row r="494">
          <cell r="E494"/>
          <cell r="F494"/>
          <cell r="I494"/>
          <cell r="J494"/>
          <cell r="K494"/>
          <cell r="L494"/>
        </row>
        <row r="495">
          <cell r="E495"/>
          <cell r="F495"/>
          <cell r="I495"/>
          <cell r="J495"/>
          <cell r="K495"/>
          <cell r="L495"/>
        </row>
        <row r="496">
          <cell r="E496"/>
          <cell r="F496"/>
          <cell r="I496"/>
          <cell r="J496"/>
          <cell r="K496"/>
          <cell r="L496"/>
        </row>
        <row r="497">
          <cell r="E497"/>
          <cell r="F497"/>
          <cell r="I497"/>
          <cell r="J497"/>
          <cell r="K497"/>
          <cell r="L497"/>
        </row>
        <row r="498">
          <cell r="E498"/>
          <cell r="F498"/>
          <cell r="I498"/>
          <cell r="J498"/>
          <cell r="K498"/>
          <cell r="L498"/>
        </row>
        <row r="499">
          <cell r="E499"/>
          <cell r="F499"/>
          <cell r="I499"/>
          <cell r="J499"/>
          <cell r="K499"/>
          <cell r="L499"/>
        </row>
        <row r="500">
          <cell r="E500"/>
          <cell r="F500"/>
          <cell r="I500"/>
          <cell r="J500"/>
          <cell r="K500"/>
          <cell r="L500"/>
        </row>
        <row r="501">
          <cell r="E501"/>
          <cell r="F501"/>
          <cell r="I501"/>
          <cell r="J501"/>
          <cell r="K501"/>
          <cell r="L501"/>
        </row>
        <row r="502">
          <cell r="E502"/>
          <cell r="F502"/>
          <cell r="I502"/>
          <cell r="J502"/>
          <cell r="K502"/>
          <cell r="L502"/>
        </row>
        <row r="503">
          <cell r="E503"/>
          <cell r="F503"/>
          <cell r="I503"/>
          <cell r="J503"/>
          <cell r="K503"/>
          <cell r="L503"/>
        </row>
        <row r="504">
          <cell r="E504"/>
          <cell r="F504"/>
          <cell r="I504"/>
          <cell r="J504"/>
          <cell r="K504"/>
          <cell r="L504"/>
        </row>
        <row r="505">
          <cell r="E505"/>
          <cell r="F505"/>
          <cell r="I505"/>
          <cell r="J505"/>
          <cell r="K505"/>
          <cell r="L505"/>
        </row>
        <row r="506">
          <cell r="E506"/>
          <cell r="F506"/>
          <cell r="I506"/>
          <cell r="J506"/>
          <cell r="K506"/>
          <cell r="L506"/>
        </row>
        <row r="507">
          <cell r="E507"/>
          <cell r="F507"/>
          <cell r="I507"/>
          <cell r="J507"/>
          <cell r="K507"/>
          <cell r="L507"/>
        </row>
        <row r="508">
          <cell r="E508"/>
          <cell r="F508"/>
          <cell r="I508"/>
          <cell r="J508"/>
          <cell r="K508"/>
          <cell r="L508"/>
        </row>
        <row r="509">
          <cell r="E509"/>
          <cell r="F509"/>
          <cell r="I509"/>
          <cell r="J509"/>
          <cell r="K509"/>
          <cell r="L509"/>
        </row>
        <row r="510">
          <cell r="E510"/>
          <cell r="F510"/>
          <cell r="I510"/>
          <cell r="J510"/>
          <cell r="K510"/>
          <cell r="L510"/>
        </row>
        <row r="511">
          <cell r="E511"/>
          <cell r="F511"/>
          <cell r="I511"/>
          <cell r="J511"/>
          <cell r="K511"/>
          <cell r="L511"/>
        </row>
        <row r="512">
          <cell r="E512"/>
          <cell r="F512"/>
          <cell r="I512"/>
          <cell r="J512"/>
          <cell r="K512"/>
          <cell r="L512"/>
        </row>
        <row r="513">
          <cell r="E513"/>
          <cell r="F513"/>
          <cell r="I513"/>
          <cell r="J513"/>
          <cell r="K513"/>
          <cell r="L513"/>
        </row>
        <row r="514">
          <cell r="E514"/>
          <cell r="F514"/>
          <cell r="I514"/>
          <cell r="J514"/>
          <cell r="K514"/>
          <cell r="L514"/>
        </row>
        <row r="515">
          <cell r="E515"/>
          <cell r="F515"/>
          <cell r="I515"/>
          <cell r="J515"/>
          <cell r="K515"/>
          <cell r="L515"/>
        </row>
        <row r="516">
          <cell r="E516"/>
          <cell r="F516"/>
          <cell r="I516"/>
          <cell r="J516"/>
          <cell r="K516"/>
          <cell r="L516"/>
        </row>
        <row r="517">
          <cell r="E517"/>
          <cell r="F517"/>
          <cell r="I517"/>
          <cell r="J517"/>
          <cell r="K517"/>
          <cell r="L517"/>
        </row>
        <row r="518">
          <cell r="E518"/>
          <cell r="F518"/>
          <cell r="I518"/>
          <cell r="J518"/>
          <cell r="K518"/>
          <cell r="L518"/>
        </row>
        <row r="519">
          <cell r="E519"/>
          <cell r="F519"/>
          <cell r="I519"/>
          <cell r="J519"/>
          <cell r="K519"/>
          <cell r="L519"/>
        </row>
        <row r="520">
          <cell r="E520"/>
          <cell r="F520"/>
          <cell r="I520"/>
          <cell r="J520"/>
          <cell r="K520"/>
          <cell r="L520"/>
        </row>
        <row r="521">
          <cell r="E521"/>
          <cell r="F521"/>
          <cell r="I521"/>
          <cell r="J521"/>
          <cell r="K521"/>
          <cell r="L521"/>
        </row>
        <row r="522">
          <cell r="E522"/>
          <cell r="F522"/>
          <cell r="I522"/>
          <cell r="J522"/>
          <cell r="K522"/>
          <cell r="L522"/>
        </row>
        <row r="523">
          <cell r="E523"/>
          <cell r="F523"/>
          <cell r="I523"/>
          <cell r="J523"/>
          <cell r="K523"/>
          <cell r="L523"/>
        </row>
        <row r="524">
          <cell r="E524"/>
          <cell r="F524"/>
          <cell r="I524"/>
          <cell r="J524"/>
          <cell r="K524"/>
          <cell r="L524"/>
        </row>
        <row r="525">
          <cell r="E525"/>
          <cell r="F525"/>
          <cell r="I525"/>
          <cell r="J525"/>
          <cell r="K525"/>
          <cell r="L525"/>
        </row>
        <row r="526">
          <cell r="E526"/>
          <cell r="F526"/>
          <cell r="I526"/>
          <cell r="J526"/>
          <cell r="K526"/>
          <cell r="L526"/>
        </row>
        <row r="527">
          <cell r="E527"/>
          <cell r="F527"/>
          <cell r="I527"/>
          <cell r="J527"/>
          <cell r="K527"/>
          <cell r="L527"/>
        </row>
        <row r="528">
          <cell r="E528"/>
          <cell r="F528"/>
          <cell r="I528"/>
          <cell r="J528"/>
          <cell r="K528"/>
          <cell r="L528"/>
        </row>
        <row r="529">
          <cell r="E529"/>
          <cell r="F529"/>
          <cell r="I529"/>
          <cell r="J529"/>
          <cell r="K529"/>
          <cell r="L529"/>
        </row>
        <row r="530">
          <cell r="E530"/>
          <cell r="F530"/>
          <cell r="I530"/>
          <cell r="J530"/>
          <cell r="K530"/>
          <cell r="L530"/>
        </row>
        <row r="531">
          <cell r="E531"/>
          <cell r="F531"/>
          <cell r="I531"/>
          <cell r="J531"/>
          <cell r="K531"/>
          <cell r="L531"/>
        </row>
        <row r="532">
          <cell r="E532"/>
          <cell r="F532"/>
          <cell r="I532"/>
          <cell r="J532"/>
          <cell r="K532"/>
          <cell r="L532"/>
        </row>
        <row r="533">
          <cell r="E533"/>
          <cell r="F533"/>
          <cell r="I533"/>
          <cell r="J533"/>
          <cell r="K533"/>
          <cell r="L533"/>
        </row>
        <row r="534">
          <cell r="E534"/>
          <cell r="F534"/>
          <cell r="I534"/>
          <cell r="J534"/>
          <cell r="K534"/>
          <cell r="L534"/>
        </row>
        <row r="535">
          <cell r="E535"/>
          <cell r="F535"/>
          <cell r="I535"/>
          <cell r="J535"/>
          <cell r="K535"/>
          <cell r="L535"/>
        </row>
        <row r="536">
          <cell r="E536"/>
          <cell r="F536"/>
          <cell r="I536"/>
          <cell r="J536"/>
          <cell r="K536"/>
          <cell r="L536"/>
        </row>
        <row r="537">
          <cell r="E537"/>
          <cell r="F537"/>
          <cell r="I537"/>
          <cell r="J537"/>
          <cell r="K537"/>
          <cell r="L537"/>
        </row>
        <row r="538">
          <cell r="E538"/>
          <cell r="F538"/>
          <cell r="I538"/>
          <cell r="J538"/>
          <cell r="K538"/>
          <cell r="L538"/>
        </row>
        <row r="539">
          <cell r="E539"/>
          <cell r="F539"/>
          <cell r="I539"/>
          <cell r="J539"/>
          <cell r="K539"/>
          <cell r="L539"/>
        </row>
        <row r="540">
          <cell r="E540"/>
          <cell r="F540"/>
          <cell r="I540"/>
          <cell r="J540"/>
          <cell r="K540"/>
          <cell r="L540"/>
        </row>
        <row r="541">
          <cell r="E541"/>
          <cell r="F541"/>
          <cell r="I541"/>
          <cell r="J541"/>
          <cell r="K541"/>
          <cell r="L541"/>
        </row>
        <row r="542">
          <cell r="E542"/>
          <cell r="F542"/>
          <cell r="I542"/>
          <cell r="J542"/>
          <cell r="K542"/>
          <cell r="L542"/>
        </row>
        <row r="543">
          <cell r="E543"/>
          <cell r="F543"/>
          <cell r="I543"/>
          <cell r="J543"/>
          <cell r="K543"/>
          <cell r="L543"/>
        </row>
        <row r="544">
          <cell r="E544"/>
          <cell r="F544"/>
          <cell r="I544"/>
          <cell r="J544"/>
          <cell r="K544"/>
          <cell r="L544"/>
        </row>
        <row r="545">
          <cell r="E545"/>
          <cell r="F545"/>
          <cell r="I545"/>
          <cell r="J545"/>
          <cell r="K545"/>
          <cell r="L545"/>
        </row>
        <row r="546">
          <cell r="E546"/>
          <cell r="F546"/>
          <cell r="I546"/>
          <cell r="J546"/>
          <cell r="K546"/>
          <cell r="L546"/>
        </row>
        <row r="547">
          <cell r="E547"/>
          <cell r="F547"/>
          <cell r="I547"/>
          <cell r="J547"/>
          <cell r="K547"/>
          <cell r="L547"/>
        </row>
        <row r="548">
          <cell r="E548"/>
          <cell r="F548"/>
          <cell r="I548"/>
          <cell r="J548"/>
          <cell r="K548"/>
          <cell r="L548"/>
        </row>
        <row r="549">
          <cell r="E549"/>
          <cell r="F549"/>
          <cell r="I549"/>
          <cell r="J549"/>
          <cell r="K549"/>
          <cell r="L549"/>
        </row>
        <row r="550">
          <cell r="E550"/>
          <cell r="F550"/>
          <cell r="I550"/>
          <cell r="J550"/>
          <cell r="K550"/>
          <cell r="L550"/>
        </row>
        <row r="551">
          <cell r="E551"/>
          <cell r="F551"/>
          <cell r="I551"/>
          <cell r="J551"/>
          <cell r="K551"/>
          <cell r="L551"/>
        </row>
        <row r="552">
          <cell r="E552"/>
          <cell r="F552"/>
          <cell r="I552"/>
          <cell r="J552"/>
          <cell r="K552"/>
          <cell r="L552"/>
        </row>
        <row r="553">
          <cell r="E553"/>
          <cell r="F553"/>
          <cell r="I553"/>
          <cell r="J553"/>
          <cell r="K553"/>
          <cell r="L553"/>
        </row>
        <row r="554">
          <cell r="E554"/>
          <cell r="F554"/>
          <cell r="I554"/>
          <cell r="J554"/>
          <cell r="K554"/>
          <cell r="L554"/>
        </row>
        <row r="555">
          <cell r="E555"/>
          <cell r="F555"/>
          <cell r="I555"/>
          <cell r="J555"/>
          <cell r="K555"/>
          <cell r="L555"/>
        </row>
        <row r="556">
          <cell r="E556"/>
          <cell r="F556"/>
          <cell r="I556"/>
          <cell r="J556"/>
          <cell r="K556"/>
          <cell r="L556"/>
        </row>
        <row r="557">
          <cell r="E557"/>
          <cell r="F557"/>
          <cell r="I557"/>
          <cell r="J557"/>
          <cell r="K557"/>
          <cell r="L557"/>
        </row>
        <row r="558">
          <cell r="E558"/>
          <cell r="F558"/>
          <cell r="I558"/>
          <cell r="J558"/>
          <cell r="K558"/>
          <cell r="L558"/>
        </row>
        <row r="559">
          <cell r="E559"/>
          <cell r="F559"/>
          <cell r="I559"/>
          <cell r="J559"/>
          <cell r="K559"/>
          <cell r="L559"/>
        </row>
        <row r="560">
          <cell r="E560"/>
          <cell r="F560"/>
          <cell r="I560"/>
          <cell r="J560"/>
          <cell r="K560"/>
          <cell r="L560"/>
        </row>
        <row r="561">
          <cell r="E561"/>
          <cell r="F561"/>
          <cell r="I561"/>
          <cell r="J561"/>
          <cell r="K561"/>
          <cell r="L561"/>
        </row>
        <row r="562">
          <cell r="E562"/>
          <cell r="F562"/>
          <cell r="I562"/>
          <cell r="J562"/>
          <cell r="K562"/>
          <cell r="L562"/>
        </row>
        <row r="563">
          <cell r="E563"/>
          <cell r="F563"/>
          <cell r="I563"/>
          <cell r="J563"/>
          <cell r="K563"/>
          <cell r="L563"/>
        </row>
        <row r="564">
          <cell r="E564"/>
          <cell r="F564"/>
          <cell r="I564"/>
          <cell r="J564"/>
          <cell r="K564"/>
          <cell r="L564"/>
        </row>
        <row r="565">
          <cell r="E565"/>
          <cell r="F565"/>
          <cell r="I565"/>
          <cell r="J565"/>
          <cell r="K565"/>
          <cell r="L565"/>
        </row>
        <row r="566">
          <cell r="E566"/>
          <cell r="F566"/>
          <cell r="I566"/>
          <cell r="J566"/>
          <cell r="K566"/>
          <cell r="L566"/>
        </row>
        <row r="567">
          <cell r="E567"/>
          <cell r="F567"/>
          <cell r="I567"/>
          <cell r="J567"/>
          <cell r="K567"/>
          <cell r="L567"/>
        </row>
        <row r="568">
          <cell r="E568"/>
          <cell r="F568"/>
          <cell r="I568"/>
          <cell r="J568"/>
          <cell r="K568"/>
          <cell r="L568"/>
        </row>
        <row r="569">
          <cell r="E569"/>
          <cell r="F569"/>
          <cell r="I569"/>
          <cell r="J569"/>
          <cell r="K569"/>
          <cell r="L569"/>
        </row>
        <row r="570">
          <cell r="E570"/>
          <cell r="F570"/>
          <cell r="I570"/>
          <cell r="J570"/>
          <cell r="K570"/>
          <cell r="L570"/>
        </row>
        <row r="571">
          <cell r="E571"/>
          <cell r="F571"/>
          <cell r="I571"/>
          <cell r="J571"/>
          <cell r="K571"/>
          <cell r="L571"/>
        </row>
        <row r="572">
          <cell r="E572"/>
          <cell r="F572"/>
          <cell r="I572"/>
          <cell r="J572"/>
          <cell r="K572"/>
          <cell r="L572"/>
        </row>
        <row r="573">
          <cell r="E573"/>
          <cell r="F573"/>
          <cell r="I573"/>
          <cell r="J573"/>
          <cell r="K573"/>
          <cell r="L573"/>
        </row>
        <row r="574">
          <cell r="E574"/>
          <cell r="F574"/>
          <cell r="I574"/>
          <cell r="J574"/>
          <cell r="K574"/>
          <cell r="L574"/>
        </row>
        <row r="575">
          <cell r="E575"/>
          <cell r="F575"/>
          <cell r="I575"/>
          <cell r="J575"/>
          <cell r="K575"/>
          <cell r="L575"/>
        </row>
        <row r="576">
          <cell r="E576"/>
          <cell r="F576"/>
          <cell r="I576"/>
          <cell r="J576"/>
          <cell r="K576"/>
          <cell r="L576"/>
        </row>
        <row r="577">
          <cell r="E577"/>
          <cell r="F577"/>
          <cell r="I577"/>
          <cell r="J577"/>
          <cell r="K577"/>
          <cell r="L577"/>
        </row>
        <row r="578">
          <cell r="E578"/>
          <cell r="F578"/>
          <cell r="I578"/>
          <cell r="J578"/>
          <cell r="K578"/>
          <cell r="L578"/>
        </row>
        <row r="579">
          <cell r="E579"/>
          <cell r="F579"/>
          <cell r="I579"/>
          <cell r="J579"/>
          <cell r="K579"/>
          <cell r="L579"/>
        </row>
        <row r="580">
          <cell r="E580"/>
          <cell r="F580"/>
          <cell r="I580"/>
          <cell r="J580"/>
          <cell r="K580"/>
          <cell r="L580"/>
        </row>
        <row r="581">
          <cell r="E581"/>
          <cell r="F581"/>
          <cell r="I581"/>
          <cell r="J581"/>
          <cell r="K581"/>
          <cell r="L581"/>
        </row>
        <row r="582">
          <cell r="E582"/>
          <cell r="F582"/>
          <cell r="I582"/>
          <cell r="J582"/>
          <cell r="K582"/>
          <cell r="L582"/>
        </row>
        <row r="583">
          <cell r="E583"/>
          <cell r="F583"/>
          <cell r="I583"/>
          <cell r="J583"/>
          <cell r="K583"/>
          <cell r="L583"/>
        </row>
        <row r="584">
          <cell r="E584"/>
          <cell r="F584"/>
          <cell r="I584"/>
          <cell r="J584"/>
          <cell r="K584"/>
          <cell r="L584"/>
        </row>
        <row r="585">
          <cell r="E585"/>
          <cell r="F585"/>
          <cell r="I585"/>
          <cell r="J585"/>
          <cell r="K585"/>
          <cell r="L585"/>
        </row>
        <row r="586">
          <cell r="E586"/>
          <cell r="F586"/>
          <cell r="I586"/>
          <cell r="J586"/>
          <cell r="K586"/>
          <cell r="L586"/>
        </row>
        <row r="587">
          <cell r="E587"/>
          <cell r="F587"/>
          <cell r="I587"/>
          <cell r="J587"/>
          <cell r="K587"/>
          <cell r="L587"/>
        </row>
        <row r="588">
          <cell r="E588"/>
          <cell r="F588"/>
          <cell r="I588"/>
          <cell r="J588"/>
          <cell r="K588"/>
          <cell r="L588"/>
        </row>
        <row r="589">
          <cell r="E589"/>
          <cell r="F589"/>
          <cell r="I589"/>
          <cell r="J589"/>
          <cell r="K589"/>
          <cell r="L589"/>
        </row>
        <row r="590">
          <cell r="E590"/>
          <cell r="F590"/>
          <cell r="I590"/>
          <cell r="J590"/>
          <cell r="K590"/>
          <cell r="L590"/>
        </row>
        <row r="591">
          <cell r="E591"/>
          <cell r="F591"/>
          <cell r="I591"/>
          <cell r="J591"/>
          <cell r="K591"/>
          <cell r="L591"/>
        </row>
        <row r="592">
          <cell r="E592"/>
          <cell r="F592"/>
          <cell r="I592"/>
          <cell r="J592"/>
          <cell r="K592"/>
          <cell r="L592"/>
        </row>
        <row r="593">
          <cell r="E593"/>
          <cell r="F593"/>
          <cell r="I593"/>
          <cell r="J593"/>
          <cell r="K593"/>
          <cell r="L593"/>
        </row>
        <row r="594">
          <cell r="E594"/>
          <cell r="F594"/>
          <cell r="I594"/>
          <cell r="J594"/>
          <cell r="K594"/>
          <cell r="L594"/>
        </row>
        <row r="595">
          <cell r="E595"/>
          <cell r="F595"/>
          <cell r="I595"/>
          <cell r="J595"/>
          <cell r="K595"/>
          <cell r="L595"/>
        </row>
        <row r="596">
          <cell r="E596"/>
          <cell r="F596"/>
          <cell r="I596"/>
          <cell r="J596"/>
          <cell r="K596"/>
          <cell r="L596"/>
        </row>
        <row r="597">
          <cell r="E597"/>
          <cell r="F597"/>
          <cell r="I597"/>
          <cell r="J597"/>
          <cell r="K597"/>
          <cell r="L597"/>
        </row>
        <row r="598">
          <cell r="E598"/>
          <cell r="F598"/>
          <cell r="I598"/>
          <cell r="J598"/>
          <cell r="K598"/>
          <cell r="L598"/>
        </row>
        <row r="599">
          <cell r="E599"/>
          <cell r="F599"/>
          <cell r="I599"/>
          <cell r="J599"/>
          <cell r="K599"/>
          <cell r="L599"/>
        </row>
        <row r="600">
          <cell r="E600"/>
          <cell r="F600"/>
          <cell r="I600"/>
          <cell r="J600"/>
          <cell r="K600"/>
          <cell r="L600"/>
        </row>
        <row r="601">
          <cell r="E601"/>
          <cell r="F601"/>
          <cell r="I601"/>
          <cell r="J601"/>
          <cell r="K601"/>
          <cell r="L601"/>
        </row>
        <row r="602">
          <cell r="E602"/>
          <cell r="F602"/>
          <cell r="I602"/>
          <cell r="J602"/>
          <cell r="K602"/>
          <cell r="L602"/>
        </row>
        <row r="603">
          <cell r="E603"/>
          <cell r="F603"/>
          <cell r="I603"/>
          <cell r="J603"/>
          <cell r="K603"/>
          <cell r="L603"/>
        </row>
        <row r="604">
          <cell r="E604"/>
          <cell r="F604"/>
          <cell r="I604"/>
          <cell r="J604"/>
          <cell r="K604"/>
          <cell r="L604"/>
        </row>
        <row r="605">
          <cell r="E605"/>
          <cell r="F605"/>
          <cell r="I605"/>
          <cell r="J605"/>
          <cell r="K605"/>
          <cell r="L605"/>
        </row>
        <row r="606">
          <cell r="E606"/>
          <cell r="F606"/>
          <cell r="I606"/>
          <cell r="J606"/>
          <cell r="K606"/>
          <cell r="L606"/>
        </row>
        <row r="607">
          <cell r="E607"/>
          <cell r="F607"/>
          <cell r="I607"/>
          <cell r="J607"/>
          <cell r="K607"/>
          <cell r="L607"/>
        </row>
        <row r="608">
          <cell r="E608"/>
          <cell r="F608"/>
          <cell r="I608"/>
          <cell r="J608"/>
          <cell r="K608"/>
          <cell r="L608"/>
        </row>
        <row r="609">
          <cell r="E609"/>
          <cell r="F609"/>
          <cell r="I609"/>
          <cell r="J609"/>
          <cell r="K609"/>
          <cell r="L609"/>
        </row>
        <row r="610">
          <cell r="E610"/>
          <cell r="F610"/>
          <cell r="I610"/>
          <cell r="J610"/>
          <cell r="K610"/>
          <cell r="L610"/>
        </row>
        <row r="611">
          <cell r="E611"/>
          <cell r="F611"/>
          <cell r="I611"/>
          <cell r="J611"/>
          <cell r="K611"/>
          <cell r="L611"/>
        </row>
        <row r="612">
          <cell r="E612"/>
          <cell r="F612"/>
          <cell r="I612"/>
          <cell r="J612"/>
          <cell r="K612"/>
          <cell r="L612"/>
        </row>
        <row r="613">
          <cell r="E613"/>
          <cell r="F613"/>
          <cell r="I613"/>
          <cell r="J613"/>
          <cell r="K613"/>
          <cell r="L613"/>
        </row>
        <row r="614">
          <cell r="E614"/>
          <cell r="F614"/>
          <cell r="I614"/>
          <cell r="J614"/>
          <cell r="K614"/>
          <cell r="L614"/>
        </row>
        <row r="615">
          <cell r="E615"/>
          <cell r="F615"/>
          <cell r="I615"/>
          <cell r="J615"/>
          <cell r="K615"/>
          <cell r="L615"/>
        </row>
        <row r="616">
          <cell r="E616"/>
          <cell r="F616"/>
          <cell r="I616"/>
          <cell r="J616"/>
          <cell r="K616"/>
          <cell r="L616"/>
        </row>
        <row r="617">
          <cell r="E617"/>
          <cell r="F617"/>
          <cell r="I617"/>
          <cell r="J617"/>
          <cell r="K617"/>
          <cell r="L617"/>
        </row>
        <row r="618">
          <cell r="E618"/>
          <cell r="F618"/>
          <cell r="I618"/>
          <cell r="J618"/>
          <cell r="K618"/>
          <cell r="L618"/>
        </row>
        <row r="619">
          <cell r="E619"/>
          <cell r="F619"/>
          <cell r="I619"/>
          <cell r="J619"/>
          <cell r="K619"/>
          <cell r="L619"/>
        </row>
        <row r="620">
          <cell r="E620"/>
          <cell r="F620"/>
          <cell r="I620"/>
          <cell r="J620"/>
          <cell r="K620"/>
          <cell r="L620"/>
        </row>
        <row r="621">
          <cell r="E621"/>
          <cell r="F621"/>
          <cell r="I621"/>
          <cell r="J621"/>
          <cell r="K621"/>
          <cell r="L621"/>
        </row>
        <row r="622">
          <cell r="E622"/>
          <cell r="F622"/>
          <cell r="I622"/>
          <cell r="J622"/>
          <cell r="K622"/>
          <cell r="L622"/>
        </row>
        <row r="623">
          <cell r="E623"/>
          <cell r="F623"/>
          <cell r="I623"/>
          <cell r="J623"/>
          <cell r="K623"/>
          <cell r="L623"/>
        </row>
        <row r="624">
          <cell r="E624"/>
          <cell r="F624"/>
          <cell r="I624"/>
          <cell r="J624"/>
          <cell r="K624"/>
          <cell r="L624"/>
        </row>
        <row r="625">
          <cell r="E625"/>
          <cell r="F625"/>
          <cell r="I625"/>
          <cell r="J625"/>
          <cell r="K625"/>
          <cell r="L625"/>
        </row>
        <row r="626">
          <cell r="E626"/>
          <cell r="F626"/>
          <cell r="I626"/>
          <cell r="J626"/>
          <cell r="K626"/>
          <cell r="L626"/>
        </row>
        <row r="627">
          <cell r="E627"/>
          <cell r="F627"/>
          <cell r="I627"/>
          <cell r="J627"/>
          <cell r="K627"/>
          <cell r="L627"/>
        </row>
        <row r="628">
          <cell r="E628"/>
          <cell r="F628"/>
          <cell r="I628"/>
          <cell r="J628"/>
          <cell r="K628"/>
          <cell r="L628"/>
        </row>
        <row r="629">
          <cell r="E629"/>
          <cell r="F629"/>
          <cell r="I629"/>
          <cell r="J629"/>
          <cell r="K629"/>
          <cell r="L629"/>
        </row>
        <row r="630">
          <cell r="E630"/>
          <cell r="F630"/>
          <cell r="I630"/>
          <cell r="J630"/>
          <cell r="K630"/>
          <cell r="L630"/>
        </row>
        <row r="631">
          <cell r="E631"/>
          <cell r="F631"/>
          <cell r="I631"/>
          <cell r="J631"/>
          <cell r="K631"/>
          <cell r="L631"/>
        </row>
        <row r="632">
          <cell r="E632"/>
          <cell r="F632"/>
          <cell r="I632"/>
          <cell r="J632"/>
          <cell r="K632"/>
          <cell r="L632"/>
        </row>
        <row r="633">
          <cell r="E633"/>
          <cell r="F633"/>
          <cell r="I633"/>
          <cell r="J633"/>
          <cell r="K633"/>
          <cell r="L633"/>
        </row>
        <row r="634">
          <cell r="E634"/>
          <cell r="F634"/>
          <cell r="I634"/>
          <cell r="J634"/>
          <cell r="K634"/>
          <cell r="L634"/>
        </row>
        <row r="635">
          <cell r="E635"/>
          <cell r="F635"/>
          <cell r="I635"/>
          <cell r="J635"/>
          <cell r="K635"/>
          <cell r="L635"/>
        </row>
        <row r="636">
          <cell r="E636"/>
          <cell r="F636"/>
          <cell r="I636"/>
          <cell r="J636"/>
          <cell r="K636"/>
          <cell r="L636"/>
        </row>
        <row r="637">
          <cell r="E637"/>
          <cell r="F637"/>
          <cell r="I637"/>
          <cell r="J637"/>
          <cell r="K637"/>
          <cell r="L637"/>
        </row>
        <row r="638">
          <cell r="E638"/>
          <cell r="F638"/>
          <cell r="I638"/>
          <cell r="J638"/>
          <cell r="K638"/>
          <cell r="L638"/>
        </row>
        <row r="639">
          <cell r="E639"/>
          <cell r="F639"/>
          <cell r="I639"/>
          <cell r="J639"/>
          <cell r="K639"/>
          <cell r="L639"/>
        </row>
        <row r="640">
          <cell r="E640"/>
          <cell r="F640"/>
          <cell r="I640"/>
          <cell r="J640"/>
          <cell r="K640"/>
          <cell r="L640"/>
        </row>
        <row r="641">
          <cell r="E641"/>
          <cell r="F641"/>
          <cell r="I641"/>
          <cell r="J641"/>
          <cell r="K641"/>
          <cell r="L641"/>
        </row>
        <row r="642">
          <cell r="E642"/>
          <cell r="F642"/>
          <cell r="I642"/>
          <cell r="J642"/>
          <cell r="K642"/>
          <cell r="L642"/>
        </row>
        <row r="643">
          <cell r="E643"/>
          <cell r="F643"/>
          <cell r="I643"/>
          <cell r="J643"/>
          <cell r="K643"/>
          <cell r="L643"/>
        </row>
        <row r="644">
          <cell r="E644"/>
          <cell r="F644"/>
          <cell r="I644"/>
          <cell r="J644"/>
          <cell r="K644"/>
          <cell r="L644"/>
        </row>
        <row r="645">
          <cell r="E645"/>
          <cell r="F645"/>
          <cell r="I645"/>
          <cell r="J645"/>
          <cell r="K645"/>
          <cell r="L645"/>
        </row>
        <row r="646">
          <cell r="E646"/>
          <cell r="F646"/>
          <cell r="I646"/>
          <cell r="J646"/>
          <cell r="K646"/>
          <cell r="L646"/>
        </row>
        <row r="647">
          <cell r="E647"/>
          <cell r="F647"/>
          <cell r="I647"/>
          <cell r="J647"/>
          <cell r="K647"/>
          <cell r="L647"/>
        </row>
        <row r="648">
          <cell r="E648"/>
          <cell r="F648"/>
          <cell r="I648"/>
          <cell r="J648"/>
          <cell r="K648"/>
          <cell r="L648"/>
        </row>
        <row r="649">
          <cell r="E649"/>
          <cell r="F649"/>
          <cell r="I649"/>
          <cell r="J649"/>
          <cell r="K649"/>
          <cell r="L649"/>
        </row>
        <row r="650">
          <cell r="E650"/>
          <cell r="F650"/>
          <cell r="I650"/>
          <cell r="J650"/>
          <cell r="K650"/>
          <cell r="L650"/>
        </row>
        <row r="651">
          <cell r="E651"/>
          <cell r="F651"/>
          <cell r="I651"/>
          <cell r="J651"/>
          <cell r="K651"/>
          <cell r="L651"/>
        </row>
        <row r="652">
          <cell r="E652"/>
          <cell r="F652"/>
          <cell r="I652"/>
          <cell r="J652"/>
          <cell r="K652"/>
          <cell r="L652"/>
        </row>
        <row r="653">
          <cell r="E653"/>
          <cell r="F653"/>
          <cell r="I653"/>
          <cell r="J653"/>
          <cell r="K653"/>
          <cell r="L653"/>
        </row>
        <row r="654">
          <cell r="E654"/>
          <cell r="F654"/>
          <cell r="I654"/>
          <cell r="J654"/>
          <cell r="K654"/>
          <cell r="L654"/>
        </row>
        <row r="655">
          <cell r="E655"/>
          <cell r="F655"/>
          <cell r="I655"/>
          <cell r="J655"/>
          <cell r="K655"/>
          <cell r="L655"/>
        </row>
        <row r="656">
          <cell r="E656"/>
          <cell r="F656"/>
          <cell r="I656"/>
          <cell r="J656"/>
          <cell r="K656"/>
          <cell r="L656"/>
        </row>
        <row r="657">
          <cell r="E657"/>
          <cell r="F657"/>
          <cell r="I657"/>
          <cell r="J657"/>
          <cell r="K657"/>
          <cell r="L657"/>
        </row>
        <row r="658">
          <cell r="E658"/>
          <cell r="F658"/>
          <cell r="I658"/>
          <cell r="J658"/>
          <cell r="K658"/>
          <cell r="L658"/>
        </row>
        <row r="659">
          <cell r="E659"/>
          <cell r="F659"/>
          <cell r="I659"/>
          <cell r="J659"/>
          <cell r="K659"/>
          <cell r="L659"/>
        </row>
        <row r="660">
          <cell r="E660"/>
          <cell r="F660"/>
          <cell r="I660"/>
          <cell r="J660"/>
          <cell r="K660"/>
          <cell r="L660"/>
        </row>
        <row r="661">
          <cell r="E661"/>
          <cell r="F661"/>
          <cell r="I661"/>
          <cell r="J661"/>
          <cell r="K661"/>
          <cell r="L661"/>
        </row>
        <row r="662">
          <cell r="E662"/>
          <cell r="F662"/>
          <cell r="I662"/>
          <cell r="J662"/>
          <cell r="K662"/>
          <cell r="L662"/>
        </row>
        <row r="663">
          <cell r="E663"/>
          <cell r="F663"/>
          <cell r="I663"/>
          <cell r="J663"/>
          <cell r="K663"/>
          <cell r="L663"/>
        </row>
        <row r="664">
          <cell r="E664"/>
          <cell r="F664"/>
          <cell r="I664"/>
          <cell r="J664"/>
          <cell r="K664"/>
          <cell r="L664"/>
        </row>
        <row r="665">
          <cell r="E665"/>
          <cell r="F665"/>
          <cell r="I665"/>
          <cell r="J665"/>
          <cell r="K665"/>
          <cell r="L665"/>
        </row>
        <row r="666">
          <cell r="E666"/>
          <cell r="F666"/>
          <cell r="I666"/>
          <cell r="J666"/>
          <cell r="K666"/>
          <cell r="L666"/>
        </row>
        <row r="667">
          <cell r="E667"/>
          <cell r="F667"/>
          <cell r="I667"/>
          <cell r="J667"/>
          <cell r="K667"/>
          <cell r="L667"/>
        </row>
        <row r="668">
          <cell r="E668"/>
          <cell r="F668"/>
          <cell r="I668"/>
          <cell r="J668"/>
          <cell r="K668"/>
          <cell r="L668"/>
        </row>
        <row r="669">
          <cell r="E669"/>
          <cell r="F669"/>
          <cell r="I669"/>
          <cell r="J669"/>
          <cell r="K669"/>
          <cell r="L669"/>
        </row>
        <row r="670">
          <cell r="E670"/>
          <cell r="F670"/>
          <cell r="I670"/>
          <cell r="J670"/>
          <cell r="K670"/>
          <cell r="L670"/>
        </row>
        <row r="671">
          <cell r="E671"/>
          <cell r="F671"/>
          <cell r="I671"/>
          <cell r="J671"/>
          <cell r="K671"/>
          <cell r="L671"/>
        </row>
        <row r="672">
          <cell r="E672"/>
          <cell r="F672"/>
          <cell r="I672"/>
          <cell r="J672"/>
          <cell r="K672"/>
          <cell r="L672"/>
        </row>
        <row r="673">
          <cell r="E673"/>
          <cell r="F673"/>
          <cell r="I673"/>
          <cell r="J673"/>
          <cell r="K673"/>
          <cell r="L673"/>
        </row>
        <row r="674">
          <cell r="E674"/>
          <cell r="F674"/>
          <cell r="I674"/>
          <cell r="J674"/>
          <cell r="K674"/>
          <cell r="L674"/>
        </row>
        <row r="675">
          <cell r="E675"/>
          <cell r="F675"/>
          <cell r="I675"/>
          <cell r="J675"/>
          <cell r="K675"/>
          <cell r="L675"/>
        </row>
        <row r="676">
          <cell r="E676"/>
          <cell r="F676"/>
          <cell r="I676"/>
          <cell r="J676"/>
          <cell r="K676"/>
          <cell r="L676"/>
        </row>
        <row r="677">
          <cell r="E677"/>
          <cell r="F677"/>
          <cell r="I677"/>
          <cell r="J677"/>
          <cell r="K677"/>
          <cell r="L677"/>
        </row>
        <row r="678">
          <cell r="E678"/>
          <cell r="F678"/>
          <cell r="I678"/>
          <cell r="J678"/>
          <cell r="K678"/>
          <cell r="L678"/>
        </row>
        <row r="679">
          <cell r="E679"/>
          <cell r="F679"/>
          <cell r="I679"/>
          <cell r="J679"/>
          <cell r="K679"/>
          <cell r="L679"/>
        </row>
        <row r="680">
          <cell r="E680"/>
          <cell r="F680"/>
          <cell r="I680"/>
          <cell r="J680"/>
          <cell r="K680"/>
          <cell r="L680"/>
        </row>
        <row r="681">
          <cell r="E681"/>
          <cell r="F681"/>
          <cell r="I681"/>
          <cell r="J681"/>
          <cell r="K681"/>
          <cell r="L681"/>
        </row>
        <row r="682">
          <cell r="E682"/>
          <cell r="F682"/>
          <cell r="I682"/>
          <cell r="J682"/>
          <cell r="K682"/>
          <cell r="L682"/>
        </row>
        <row r="683">
          <cell r="E683"/>
          <cell r="F683"/>
          <cell r="I683"/>
          <cell r="J683"/>
          <cell r="K683"/>
          <cell r="L683"/>
        </row>
        <row r="684">
          <cell r="E684"/>
          <cell r="F684"/>
          <cell r="I684"/>
          <cell r="J684"/>
          <cell r="K684"/>
          <cell r="L684"/>
        </row>
        <row r="685">
          <cell r="E685"/>
          <cell r="F685"/>
          <cell r="I685"/>
          <cell r="J685"/>
          <cell r="K685"/>
          <cell r="L685"/>
        </row>
        <row r="686">
          <cell r="E686"/>
          <cell r="F686"/>
          <cell r="I686"/>
          <cell r="J686"/>
          <cell r="K686"/>
          <cell r="L686"/>
        </row>
        <row r="687">
          <cell r="E687"/>
          <cell r="F687"/>
          <cell r="I687"/>
          <cell r="J687"/>
          <cell r="K687"/>
          <cell r="L687"/>
        </row>
        <row r="688">
          <cell r="E688"/>
          <cell r="F688"/>
          <cell r="I688"/>
          <cell r="J688"/>
          <cell r="K688"/>
          <cell r="L688"/>
        </row>
        <row r="689">
          <cell r="E689"/>
          <cell r="F689"/>
          <cell r="I689"/>
          <cell r="J689"/>
          <cell r="K689"/>
          <cell r="L689"/>
        </row>
        <row r="690">
          <cell r="E690"/>
          <cell r="F690"/>
          <cell r="I690"/>
          <cell r="J690"/>
          <cell r="K690"/>
          <cell r="L690"/>
        </row>
        <row r="691">
          <cell r="E691"/>
          <cell r="F691"/>
          <cell r="I691"/>
          <cell r="J691"/>
          <cell r="K691"/>
          <cell r="L691"/>
        </row>
        <row r="692">
          <cell r="E692"/>
          <cell r="F692"/>
          <cell r="I692"/>
          <cell r="J692"/>
          <cell r="K692"/>
          <cell r="L692"/>
        </row>
        <row r="693">
          <cell r="E693"/>
          <cell r="F693"/>
          <cell r="I693"/>
          <cell r="J693"/>
          <cell r="K693"/>
          <cell r="L693"/>
        </row>
        <row r="694">
          <cell r="E694"/>
          <cell r="F694"/>
          <cell r="I694"/>
          <cell r="J694"/>
          <cell r="K694"/>
          <cell r="L694"/>
        </row>
        <row r="695">
          <cell r="E695"/>
          <cell r="F695"/>
          <cell r="I695"/>
          <cell r="J695"/>
          <cell r="K695"/>
          <cell r="L695"/>
        </row>
        <row r="696">
          <cell r="E696"/>
          <cell r="F696"/>
          <cell r="I696"/>
          <cell r="J696"/>
          <cell r="K696"/>
          <cell r="L696"/>
        </row>
        <row r="697">
          <cell r="E697"/>
          <cell r="F697"/>
          <cell r="I697"/>
          <cell r="J697"/>
          <cell r="K697"/>
          <cell r="L697"/>
        </row>
        <row r="698">
          <cell r="E698"/>
          <cell r="F698"/>
          <cell r="I698"/>
          <cell r="J698"/>
          <cell r="K698"/>
          <cell r="L698"/>
        </row>
        <row r="699">
          <cell r="E699"/>
          <cell r="F699"/>
          <cell r="I699"/>
          <cell r="J699"/>
          <cell r="K699"/>
          <cell r="L699"/>
        </row>
        <row r="700">
          <cell r="E700"/>
          <cell r="F700"/>
          <cell r="I700"/>
          <cell r="J700"/>
          <cell r="K700"/>
          <cell r="L700"/>
        </row>
        <row r="701">
          <cell r="E701"/>
          <cell r="F701"/>
          <cell r="I701"/>
          <cell r="J701"/>
          <cell r="K701"/>
          <cell r="L701"/>
        </row>
        <row r="702">
          <cell r="E702"/>
          <cell r="F702"/>
          <cell r="I702"/>
          <cell r="J702"/>
          <cell r="K702"/>
          <cell r="L702"/>
        </row>
        <row r="703">
          <cell r="E703"/>
          <cell r="F703"/>
          <cell r="I703"/>
          <cell r="J703"/>
          <cell r="K703"/>
          <cell r="L703"/>
        </row>
        <row r="704">
          <cell r="E704"/>
          <cell r="F704"/>
          <cell r="I704"/>
          <cell r="J704"/>
          <cell r="K704"/>
          <cell r="L704"/>
        </row>
        <row r="705">
          <cell r="E705"/>
          <cell r="F705"/>
          <cell r="I705"/>
          <cell r="J705"/>
          <cell r="K705"/>
          <cell r="L705"/>
        </row>
        <row r="706">
          <cell r="E706"/>
          <cell r="F706"/>
          <cell r="I706"/>
          <cell r="J706"/>
          <cell r="K706"/>
          <cell r="L706"/>
        </row>
        <row r="707">
          <cell r="E707"/>
          <cell r="F707"/>
          <cell r="I707"/>
          <cell r="J707"/>
          <cell r="K707"/>
          <cell r="L707"/>
        </row>
        <row r="708">
          <cell r="E708"/>
          <cell r="F708"/>
          <cell r="I708"/>
          <cell r="J708"/>
          <cell r="K708"/>
          <cell r="L708"/>
        </row>
        <row r="709">
          <cell r="E709"/>
          <cell r="F709"/>
          <cell r="I709"/>
          <cell r="J709"/>
          <cell r="K709"/>
          <cell r="L709"/>
        </row>
        <row r="710">
          <cell r="E710"/>
          <cell r="F710"/>
          <cell r="I710"/>
          <cell r="J710"/>
          <cell r="K710"/>
          <cell r="L710"/>
        </row>
        <row r="711">
          <cell r="E711"/>
          <cell r="F711"/>
          <cell r="I711"/>
          <cell r="J711"/>
          <cell r="K711"/>
          <cell r="L711"/>
        </row>
        <row r="712">
          <cell r="E712"/>
          <cell r="F712"/>
          <cell r="I712"/>
          <cell r="J712"/>
          <cell r="K712"/>
          <cell r="L712"/>
        </row>
        <row r="713">
          <cell r="E713"/>
          <cell r="F713"/>
          <cell r="I713"/>
          <cell r="J713"/>
          <cell r="K713"/>
          <cell r="L713"/>
        </row>
        <row r="714">
          <cell r="E714"/>
          <cell r="F714"/>
          <cell r="I714"/>
          <cell r="J714"/>
          <cell r="K714"/>
          <cell r="L714"/>
        </row>
        <row r="715">
          <cell r="E715"/>
          <cell r="F715"/>
          <cell r="I715"/>
          <cell r="J715"/>
          <cell r="K715"/>
          <cell r="L715"/>
        </row>
        <row r="716">
          <cell r="E716"/>
          <cell r="F716"/>
          <cell r="I716"/>
          <cell r="J716"/>
          <cell r="K716"/>
          <cell r="L716"/>
        </row>
        <row r="717">
          <cell r="E717"/>
          <cell r="F717"/>
          <cell r="I717"/>
          <cell r="J717"/>
          <cell r="K717"/>
          <cell r="L717"/>
        </row>
        <row r="718">
          <cell r="E718"/>
          <cell r="F718"/>
          <cell r="I718"/>
          <cell r="J718"/>
          <cell r="K718"/>
          <cell r="L718"/>
        </row>
        <row r="719">
          <cell r="E719"/>
          <cell r="F719"/>
          <cell r="I719"/>
          <cell r="J719"/>
          <cell r="K719"/>
          <cell r="L719"/>
        </row>
        <row r="720">
          <cell r="E720"/>
          <cell r="F720"/>
          <cell r="I720"/>
          <cell r="J720"/>
          <cell r="K720"/>
          <cell r="L720"/>
        </row>
        <row r="721">
          <cell r="E721"/>
          <cell r="F721"/>
          <cell r="I721"/>
          <cell r="J721"/>
          <cell r="K721"/>
          <cell r="L721"/>
        </row>
        <row r="722">
          <cell r="E722"/>
          <cell r="F722"/>
          <cell r="I722"/>
          <cell r="J722"/>
          <cell r="K722"/>
          <cell r="L722"/>
        </row>
        <row r="723">
          <cell r="E723"/>
          <cell r="F723"/>
          <cell r="I723"/>
          <cell r="J723"/>
          <cell r="K723"/>
          <cell r="L723"/>
        </row>
        <row r="724">
          <cell r="E724"/>
          <cell r="F724"/>
          <cell r="I724"/>
          <cell r="J724"/>
          <cell r="K724"/>
          <cell r="L724"/>
        </row>
        <row r="725">
          <cell r="E725"/>
          <cell r="F725"/>
          <cell r="I725"/>
          <cell r="J725"/>
          <cell r="K725"/>
          <cell r="L725"/>
        </row>
        <row r="726">
          <cell r="E726"/>
          <cell r="F726"/>
          <cell r="I726"/>
          <cell r="J726"/>
          <cell r="K726"/>
          <cell r="L726"/>
        </row>
        <row r="727">
          <cell r="E727"/>
          <cell r="F727"/>
          <cell r="I727"/>
          <cell r="J727"/>
          <cell r="K727"/>
          <cell r="L727"/>
        </row>
        <row r="728">
          <cell r="E728"/>
          <cell r="F728"/>
          <cell r="I728"/>
          <cell r="J728"/>
          <cell r="K728"/>
          <cell r="L728"/>
        </row>
        <row r="729">
          <cell r="E729"/>
          <cell r="F729"/>
          <cell r="I729"/>
          <cell r="J729"/>
          <cell r="K729"/>
          <cell r="L729"/>
        </row>
        <row r="730">
          <cell r="E730"/>
          <cell r="F730"/>
          <cell r="I730"/>
          <cell r="J730"/>
          <cell r="K730"/>
          <cell r="L730"/>
        </row>
        <row r="731">
          <cell r="E731"/>
          <cell r="F731"/>
          <cell r="I731"/>
          <cell r="J731"/>
          <cell r="K731"/>
          <cell r="L731"/>
        </row>
        <row r="732">
          <cell r="E732"/>
          <cell r="F732"/>
          <cell r="I732"/>
          <cell r="J732"/>
          <cell r="K732"/>
          <cell r="L732"/>
        </row>
        <row r="733">
          <cell r="E733"/>
          <cell r="F733"/>
          <cell r="I733"/>
          <cell r="J733"/>
          <cell r="K733"/>
          <cell r="L733"/>
        </row>
        <row r="734">
          <cell r="E734"/>
          <cell r="F734"/>
          <cell r="I734"/>
          <cell r="J734"/>
          <cell r="K734"/>
          <cell r="L734"/>
        </row>
        <row r="735">
          <cell r="E735"/>
          <cell r="F735"/>
          <cell r="I735"/>
          <cell r="J735"/>
          <cell r="K735"/>
          <cell r="L735"/>
        </row>
        <row r="736">
          <cell r="E736"/>
          <cell r="F736"/>
          <cell r="I736"/>
          <cell r="J736"/>
          <cell r="K736"/>
          <cell r="L736"/>
        </row>
        <row r="737">
          <cell r="E737"/>
          <cell r="F737"/>
          <cell r="I737"/>
          <cell r="J737"/>
          <cell r="K737"/>
          <cell r="L737"/>
        </row>
        <row r="738">
          <cell r="E738"/>
          <cell r="F738"/>
          <cell r="I738"/>
          <cell r="J738"/>
          <cell r="K738"/>
          <cell r="L738"/>
        </row>
        <row r="739">
          <cell r="E739"/>
          <cell r="F739"/>
          <cell r="I739"/>
          <cell r="J739"/>
          <cell r="K739"/>
          <cell r="L739"/>
        </row>
        <row r="740">
          <cell r="E740"/>
          <cell r="F740"/>
          <cell r="I740"/>
          <cell r="J740"/>
          <cell r="K740"/>
          <cell r="L740"/>
        </row>
        <row r="741">
          <cell r="E741"/>
          <cell r="F741"/>
          <cell r="I741"/>
          <cell r="J741"/>
          <cell r="K741"/>
          <cell r="L741"/>
        </row>
        <row r="742">
          <cell r="E742"/>
          <cell r="F742"/>
          <cell r="I742"/>
          <cell r="J742"/>
          <cell r="K742"/>
          <cell r="L742"/>
        </row>
        <row r="743">
          <cell r="E743"/>
          <cell r="F743"/>
          <cell r="I743"/>
          <cell r="J743"/>
          <cell r="K743"/>
          <cell r="L743"/>
        </row>
        <row r="744">
          <cell r="E744"/>
          <cell r="F744"/>
          <cell r="I744"/>
          <cell r="J744"/>
          <cell r="K744"/>
          <cell r="L744"/>
        </row>
        <row r="745">
          <cell r="E745"/>
          <cell r="F745"/>
          <cell r="I745"/>
          <cell r="J745"/>
          <cell r="K745"/>
          <cell r="L745"/>
        </row>
        <row r="746">
          <cell r="E746"/>
          <cell r="F746"/>
          <cell r="I746"/>
          <cell r="J746"/>
          <cell r="K746"/>
          <cell r="L746"/>
        </row>
        <row r="747">
          <cell r="E747"/>
          <cell r="F747"/>
          <cell r="I747"/>
          <cell r="J747"/>
          <cell r="K747"/>
          <cell r="L747"/>
        </row>
        <row r="748">
          <cell r="E748"/>
          <cell r="F748"/>
          <cell r="I748"/>
          <cell r="J748"/>
          <cell r="K748"/>
          <cell r="L748"/>
        </row>
        <row r="749">
          <cell r="E749"/>
          <cell r="F749"/>
          <cell r="I749"/>
          <cell r="J749"/>
          <cell r="K749"/>
          <cell r="L749"/>
        </row>
        <row r="750">
          <cell r="E750"/>
          <cell r="F750"/>
          <cell r="I750"/>
          <cell r="J750"/>
          <cell r="K750"/>
          <cell r="L750"/>
        </row>
        <row r="751">
          <cell r="E751"/>
          <cell r="F751"/>
          <cell r="I751"/>
          <cell r="J751"/>
          <cell r="K751"/>
          <cell r="L751"/>
        </row>
        <row r="752">
          <cell r="E752"/>
          <cell r="F752"/>
          <cell r="I752"/>
          <cell r="J752"/>
          <cell r="K752"/>
          <cell r="L752"/>
        </row>
        <row r="753">
          <cell r="E753"/>
          <cell r="F753"/>
          <cell r="I753"/>
          <cell r="J753"/>
          <cell r="K753"/>
          <cell r="L753"/>
        </row>
        <row r="754">
          <cell r="E754"/>
          <cell r="F754"/>
          <cell r="I754"/>
          <cell r="J754"/>
          <cell r="K754"/>
          <cell r="L754"/>
        </row>
        <row r="755">
          <cell r="E755"/>
          <cell r="F755"/>
          <cell r="I755"/>
          <cell r="J755"/>
          <cell r="K755"/>
          <cell r="L755"/>
        </row>
        <row r="756">
          <cell r="E756"/>
          <cell r="F756"/>
          <cell r="I756"/>
          <cell r="J756"/>
          <cell r="K756"/>
          <cell r="L756"/>
        </row>
        <row r="757">
          <cell r="E757"/>
          <cell r="F757"/>
          <cell r="I757"/>
          <cell r="J757"/>
          <cell r="K757"/>
          <cell r="L757"/>
        </row>
        <row r="758">
          <cell r="E758"/>
          <cell r="F758"/>
          <cell r="I758"/>
          <cell r="J758"/>
          <cell r="K758"/>
          <cell r="L758"/>
        </row>
        <row r="759">
          <cell r="E759"/>
          <cell r="F759"/>
          <cell r="I759"/>
          <cell r="J759"/>
          <cell r="K759"/>
          <cell r="L759"/>
        </row>
        <row r="760">
          <cell r="E760"/>
          <cell r="F760"/>
          <cell r="I760"/>
          <cell r="J760"/>
          <cell r="K760"/>
          <cell r="L760"/>
        </row>
        <row r="761">
          <cell r="E761"/>
          <cell r="F761"/>
          <cell r="I761"/>
          <cell r="J761"/>
          <cell r="K761"/>
          <cell r="L761"/>
        </row>
        <row r="762">
          <cell r="E762"/>
          <cell r="F762"/>
          <cell r="I762"/>
          <cell r="J762"/>
          <cell r="K762"/>
          <cell r="L762"/>
        </row>
        <row r="763">
          <cell r="E763"/>
          <cell r="F763"/>
          <cell r="I763"/>
          <cell r="J763"/>
          <cell r="K763"/>
          <cell r="L763"/>
        </row>
        <row r="764">
          <cell r="E764"/>
          <cell r="F764"/>
          <cell r="I764"/>
          <cell r="J764"/>
          <cell r="K764"/>
          <cell r="L764"/>
        </row>
        <row r="765">
          <cell r="E765"/>
          <cell r="F765"/>
          <cell r="I765"/>
          <cell r="J765"/>
          <cell r="K765"/>
          <cell r="L765"/>
        </row>
        <row r="766">
          <cell r="E766"/>
          <cell r="F766"/>
          <cell r="I766"/>
          <cell r="J766"/>
          <cell r="K766"/>
          <cell r="L766"/>
        </row>
        <row r="767">
          <cell r="E767"/>
          <cell r="F767"/>
          <cell r="I767"/>
          <cell r="J767"/>
          <cell r="K767"/>
          <cell r="L767"/>
        </row>
        <row r="768">
          <cell r="E768"/>
          <cell r="F768"/>
          <cell r="I768"/>
          <cell r="J768"/>
          <cell r="K768"/>
          <cell r="L768"/>
        </row>
        <row r="769">
          <cell r="E769"/>
          <cell r="F769"/>
          <cell r="I769"/>
          <cell r="J769"/>
          <cell r="K769"/>
          <cell r="L769"/>
        </row>
        <row r="770">
          <cell r="E770"/>
          <cell r="F770"/>
          <cell r="I770"/>
          <cell r="J770"/>
          <cell r="K770"/>
          <cell r="L770"/>
        </row>
        <row r="771">
          <cell r="E771"/>
          <cell r="F771"/>
          <cell r="I771"/>
          <cell r="J771"/>
          <cell r="K771"/>
          <cell r="L771"/>
        </row>
        <row r="772">
          <cell r="E772"/>
          <cell r="F772"/>
          <cell r="I772"/>
          <cell r="J772"/>
          <cell r="K772"/>
          <cell r="L772"/>
        </row>
        <row r="773">
          <cell r="E773"/>
          <cell r="F773"/>
          <cell r="I773"/>
          <cell r="J773"/>
          <cell r="K773"/>
          <cell r="L773"/>
        </row>
        <row r="774">
          <cell r="E774"/>
          <cell r="F774"/>
          <cell r="I774"/>
          <cell r="J774"/>
          <cell r="K774"/>
          <cell r="L774"/>
        </row>
        <row r="775">
          <cell r="E775"/>
          <cell r="F775"/>
          <cell r="I775"/>
          <cell r="J775"/>
          <cell r="K775"/>
          <cell r="L775"/>
        </row>
        <row r="776">
          <cell r="E776"/>
          <cell r="F776"/>
          <cell r="I776"/>
          <cell r="J776"/>
          <cell r="K776"/>
          <cell r="L776"/>
        </row>
        <row r="777">
          <cell r="E777"/>
          <cell r="F777"/>
          <cell r="I777"/>
          <cell r="J777"/>
          <cell r="K777"/>
          <cell r="L777"/>
        </row>
        <row r="778">
          <cell r="E778"/>
          <cell r="F778"/>
          <cell r="I778"/>
          <cell r="J778"/>
          <cell r="K778"/>
          <cell r="L778"/>
        </row>
        <row r="779">
          <cell r="E779"/>
          <cell r="F779"/>
          <cell r="I779"/>
          <cell r="J779"/>
          <cell r="K779"/>
          <cell r="L779"/>
        </row>
        <row r="780">
          <cell r="E780"/>
          <cell r="F780"/>
          <cell r="I780"/>
          <cell r="J780"/>
          <cell r="K780"/>
          <cell r="L780"/>
        </row>
        <row r="781">
          <cell r="E781"/>
          <cell r="F781"/>
          <cell r="I781"/>
          <cell r="J781"/>
          <cell r="K781"/>
          <cell r="L781"/>
        </row>
        <row r="782">
          <cell r="E782"/>
          <cell r="F782"/>
          <cell r="I782"/>
          <cell r="J782"/>
          <cell r="K782"/>
          <cell r="L782"/>
        </row>
        <row r="783">
          <cell r="E783"/>
          <cell r="F783"/>
          <cell r="I783"/>
          <cell r="J783"/>
          <cell r="K783"/>
          <cell r="L783"/>
        </row>
        <row r="784">
          <cell r="E784"/>
          <cell r="F784"/>
          <cell r="I784"/>
          <cell r="J784"/>
          <cell r="K784"/>
          <cell r="L784"/>
        </row>
        <row r="785">
          <cell r="E785"/>
          <cell r="F785"/>
          <cell r="I785"/>
          <cell r="J785"/>
          <cell r="K785"/>
          <cell r="L785"/>
        </row>
        <row r="786">
          <cell r="E786"/>
          <cell r="F786"/>
          <cell r="I786"/>
          <cell r="J786"/>
          <cell r="K786"/>
          <cell r="L786"/>
        </row>
        <row r="787">
          <cell r="E787"/>
          <cell r="F787"/>
          <cell r="I787"/>
          <cell r="J787"/>
          <cell r="K787"/>
          <cell r="L787"/>
        </row>
        <row r="788">
          <cell r="E788"/>
          <cell r="F788"/>
          <cell r="I788"/>
          <cell r="J788"/>
          <cell r="K788"/>
          <cell r="L788"/>
        </row>
        <row r="789">
          <cell r="E789"/>
          <cell r="F789"/>
          <cell r="I789"/>
          <cell r="J789"/>
          <cell r="K789"/>
          <cell r="L789"/>
        </row>
        <row r="790">
          <cell r="E790"/>
          <cell r="F790"/>
          <cell r="I790"/>
          <cell r="J790"/>
          <cell r="K790"/>
          <cell r="L790"/>
        </row>
        <row r="791">
          <cell r="E791"/>
          <cell r="F791"/>
          <cell r="I791"/>
          <cell r="J791"/>
          <cell r="K791"/>
          <cell r="L791"/>
        </row>
        <row r="792">
          <cell r="E792"/>
          <cell r="F792"/>
          <cell r="I792"/>
          <cell r="J792"/>
          <cell r="K792"/>
          <cell r="L792"/>
        </row>
        <row r="793">
          <cell r="E793"/>
          <cell r="F793"/>
          <cell r="I793"/>
          <cell r="J793"/>
          <cell r="K793"/>
          <cell r="L793"/>
        </row>
        <row r="794">
          <cell r="E794"/>
          <cell r="F794"/>
          <cell r="I794"/>
          <cell r="J794"/>
          <cell r="K794"/>
          <cell r="L794"/>
        </row>
        <row r="795">
          <cell r="E795"/>
          <cell r="F795"/>
          <cell r="I795"/>
          <cell r="J795"/>
          <cell r="K795"/>
          <cell r="L795"/>
        </row>
        <row r="796">
          <cell r="E796"/>
          <cell r="F796"/>
          <cell r="I796"/>
          <cell r="J796"/>
          <cell r="K796"/>
          <cell r="L796"/>
        </row>
        <row r="797">
          <cell r="E797"/>
          <cell r="F797"/>
          <cell r="I797"/>
          <cell r="J797"/>
          <cell r="K797"/>
          <cell r="L797"/>
        </row>
        <row r="798">
          <cell r="E798"/>
          <cell r="F798"/>
          <cell r="I798"/>
          <cell r="J798"/>
          <cell r="K798"/>
          <cell r="L798"/>
        </row>
        <row r="799">
          <cell r="E799"/>
          <cell r="F799"/>
          <cell r="I799"/>
          <cell r="J799"/>
          <cell r="K799"/>
          <cell r="L799"/>
        </row>
        <row r="800">
          <cell r="E800"/>
          <cell r="F800"/>
          <cell r="I800"/>
          <cell r="J800"/>
          <cell r="K800"/>
          <cell r="L800"/>
        </row>
        <row r="801">
          <cell r="E801"/>
          <cell r="F801"/>
          <cell r="I801"/>
          <cell r="J801"/>
          <cell r="K801"/>
          <cell r="L801"/>
        </row>
        <row r="802">
          <cell r="E802"/>
          <cell r="F802"/>
          <cell r="I802"/>
          <cell r="J802"/>
          <cell r="K802"/>
          <cell r="L802"/>
        </row>
        <row r="803">
          <cell r="E803"/>
          <cell r="F803"/>
          <cell r="I803"/>
          <cell r="J803"/>
          <cell r="K803"/>
          <cell r="L803"/>
        </row>
        <row r="804">
          <cell r="E804"/>
          <cell r="F804"/>
          <cell r="I804"/>
          <cell r="J804"/>
          <cell r="K804"/>
          <cell r="L804"/>
        </row>
        <row r="805">
          <cell r="E805"/>
          <cell r="F805"/>
          <cell r="I805"/>
          <cell r="J805"/>
          <cell r="K805"/>
          <cell r="L805"/>
        </row>
        <row r="806">
          <cell r="E806"/>
          <cell r="F806"/>
          <cell r="I806"/>
          <cell r="J806"/>
          <cell r="K806"/>
          <cell r="L806"/>
        </row>
        <row r="807">
          <cell r="E807"/>
          <cell r="F807"/>
          <cell r="I807"/>
          <cell r="J807"/>
          <cell r="K807"/>
          <cell r="L807"/>
        </row>
        <row r="808">
          <cell r="E808"/>
          <cell r="F808"/>
          <cell r="I808"/>
          <cell r="J808"/>
          <cell r="K808"/>
          <cell r="L808"/>
        </row>
        <row r="809">
          <cell r="E809"/>
          <cell r="F809"/>
          <cell r="I809"/>
          <cell r="J809"/>
          <cell r="K809"/>
          <cell r="L809"/>
        </row>
        <row r="810">
          <cell r="E810"/>
          <cell r="F810"/>
          <cell r="I810"/>
          <cell r="J810"/>
          <cell r="K810"/>
          <cell r="L810"/>
        </row>
        <row r="811">
          <cell r="E811"/>
          <cell r="F811"/>
          <cell r="I811"/>
          <cell r="J811"/>
          <cell r="K811"/>
          <cell r="L811"/>
        </row>
        <row r="812">
          <cell r="E812"/>
          <cell r="F812"/>
          <cell r="I812"/>
          <cell r="J812"/>
          <cell r="K812"/>
          <cell r="L812"/>
        </row>
        <row r="813">
          <cell r="E813"/>
          <cell r="F813"/>
          <cell r="I813"/>
          <cell r="J813"/>
          <cell r="K813"/>
          <cell r="L813"/>
        </row>
        <row r="814">
          <cell r="E814"/>
          <cell r="F814"/>
          <cell r="I814"/>
          <cell r="J814"/>
          <cell r="K814"/>
          <cell r="L814"/>
        </row>
        <row r="815">
          <cell r="E815"/>
          <cell r="F815"/>
          <cell r="I815"/>
          <cell r="J815"/>
          <cell r="K815"/>
          <cell r="L815"/>
        </row>
        <row r="816">
          <cell r="E816"/>
          <cell r="F816"/>
          <cell r="I816"/>
          <cell r="J816"/>
          <cell r="K816"/>
          <cell r="L816"/>
        </row>
        <row r="817">
          <cell r="E817"/>
          <cell r="F817"/>
          <cell r="I817"/>
          <cell r="J817"/>
          <cell r="K817"/>
          <cell r="L817"/>
        </row>
        <row r="818">
          <cell r="E818"/>
          <cell r="F818"/>
          <cell r="I818"/>
          <cell r="J818"/>
          <cell r="K818"/>
          <cell r="L818"/>
        </row>
        <row r="819">
          <cell r="E819"/>
          <cell r="F819"/>
          <cell r="I819"/>
          <cell r="J819"/>
          <cell r="K819"/>
          <cell r="L819"/>
        </row>
        <row r="820">
          <cell r="E820"/>
          <cell r="F820"/>
          <cell r="I820"/>
          <cell r="J820"/>
          <cell r="K820"/>
          <cell r="L820"/>
        </row>
        <row r="821">
          <cell r="E821"/>
          <cell r="F821"/>
          <cell r="I821"/>
          <cell r="J821"/>
          <cell r="K821"/>
          <cell r="L821"/>
        </row>
        <row r="822">
          <cell r="E822"/>
          <cell r="F822"/>
          <cell r="I822"/>
          <cell r="J822"/>
          <cell r="K822"/>
          <cell r="L822"/>
        </row>
        <row r="823">
          <cell r="E823"/>
          <cell r="F823"/>
          <cell r="I823"/>
          <cell r="J823"/>
          <cell r="K823"/>
          <cell r="L823"/>
        </row>
        <row r="824">
          <cell r="E824"/>
          <cell r="F824"/>
          <cell r="I824"/>
          <cell r="J824"/>
          <cell r="K824"/>
          <cell r="L824"/>
        </row>
        <row r="825">
          <cell r="E825"/>
          <cell r="F825"/>
          <cell r="I825"/>
          <cell r="J825"/>
          <cell r="K825"/>
          <cell r="L825"/>
        </row>
        <row r="826">
          <cell r="E826"/>
          <cell r="F826"/>
          <cell r="I826"/>
          <cell r="J826"/>
          <cell r="K826"/>
          <cell r="L826"/>
        </row>
        <row r="827">
          <cell r="E827"/>
          <cell r="F827"/>
          <cell r="I827"/>
          <cell r="J827"/>
          <cell r="K827"/>
          <cell r="L827"/>
        </row>
        <row r="828">
          <cell r="E828"/>
          <cell r="F828"/>
          <cell r="I828"/>
          <cell r="J828"/>
          <cell r="K828"/>
          <cell r="L828"/>
        </row>
        <row r="829">
          <cell r="E829"/>
          <cell r="F829"/>
          <cell r="I829"/>
          <cell r="J829"/>
          <cell r="K829"/>
          <cell r="L829"/>
        </row>
        <row r="830">
          <cell r="E830"/>
          <cell r="F830"/>
          <cell r="I830"/>
          <cell r="J830"/>
          <cell r="K830"/>
          <cell r="L830"/>
        </row>
        <row r="831">
          <cell r="E831"/>
          <cell r="F831"/>
          <cell r="I831"/>
          <cell r="J831"/>
          <cell r="K831"/>
          <cell r="L831"/>
        </row>
        <row r="832">
          <cell r="E832"/>
          <cell r="F832"/>
          <cell r="I832"/>
          <cell r="J832"/>
          <cell r="K832"/>
          <cell r="L832"/>
        </row>
        <row r="833">
          <cell r="E833"/>
          <cell r="F833"/>
          <cell r="I833"/>
          <cell r="J833"/>
          <cell r="K833"/>
          <cell r="L833"/>
        </row>
        <row r="834">
          <cell r="E834"/>
          <cell r="F834"/>
          <cell r="I834"/>
          <cell r="J834"/>
          <cell r="K834"/>
          <cell r="L834"/>
        </row>
        <row r="835">
          <cell r="E835"/>
          <cell r="F835"/>
          <cell r="I835"/>
          <cell r="J835"/>
          <cell r="K835"/>
          <cell r="L835"/>
        </row>
        <row r="836">
          <cell r="E836"/>
          <cell r="F836"/>
          <cell r="I836"/>
          <cell r="J836"/>
          <cell r="K836"/>
          <cell r="L836"/>
        </row>
        <row r="837">
          <cell r="E837"/>
          <cell r="F837"/>
          <cell r="I837"/>
          <cell r="J837"/>
          <cell r="K837"/>
          <cell r="L837"/>
        </row>
        <row r="838">
          <cell r="E838"/>
          <cell r="F838"/>
          <cell r="I838"/>
          <cell r="J838"/>
          <cell r="K838"/>
          <cell r="L838"/>
        </row>
        <row r="839">
          <cell r="E839"/>
          <cell r="F839"/>
          <cell r="I839"/>
          <cell r="J839"/>
          <cell r="K839"/>
          <cell r="L839"/>
        </row>
        <row r="840">
          <cell r="E840"/>
          <cell r="F840"/>
          <cell r="I840"/>
          <cell r="J840"/>
          <cell r="K840"/>
          <cell r="L840"/>
        </row>
        <row r="841">
          <cell r="E841"/>
          <cell r="F841"/>
          <cell r="I841"/>
          <cell r="J841"/>
          <cell r="K841"/>
          <cell r="L841"/>
        </row>
        <row r="842">
          <cell r="E842"/>
          <cell r="F842"/>
          <cell r="I842"/>
          <cell r="J842"/>
          <cell r="K842"/>
          <cell r="L842"/>
        </row>
        <row r="843">
          <cell r="E843"/>
          <cell r="F843"/>
          <cell r="I843"/>
          <cell r="J843"/>
          <cell r="K843"/>
          <cell r="L843"/>
        </row>
        <row r="844">
          <cell r="E844"/>
          <cell r="F844"/>
          <cell r="I844"/>
          <cell r="J844"/>
          <cell r="K844"/>
          <cell r="L844"/>
        </row>
        <row r="845">
          <cell r="E845"/>
          <cell r="F845"/>
          <cell r="I845"/>
          <cell r="J845"/>
          <cell r="K845"/>
          <cell r="L845"/>
        </row>
        <row r="846">
          <cell r="E846"/>
          <cell r="F846"/>
          <cell r="I846"/>
          <cell r="J846"/>
          <cell r="K846"/>
          <cell r="L846"/>
        </row>
        <row r="847">
          <cell r="E847"/>
          <cell r="F847"/>
          <cell r="I847"/>
          <cell r="J847"/>
          <cell r="K847"/>
          <cell r="L847"/>
        </row>
        <row r="848">
          <cell r="E848"/>
          <cell r="F848"/>
          <cell r="I848"/>
          <cell r="J848"/>
          <cell r="K848"/>
          <cell r="L848"/>
        </row>
        <row r="849">
          <cell r="E849"/>
          <cell r="F849"/>
          <cell r="I849"/>
          <cell r="J849"/>
          <cell r="K849"/>
          <cell r="L849"/>
        </row>
        <row r="850">
          <cell r="E850"/>
          <cell r="F850"/>
          <cell r="I850"/>
          <cell r="J850"/>
          <cell r="K850"/>
          <cell r="L850"/>
        </row>
        <row r="851">
          <cell r="E851"/>
          <cell r="F851"/>
          <cell r="I851"/>
          <cell r="J851"/>
          <cell r="K851"/>
          <cell r="L851"/>
        </row>
        <row r="852">
          <cell r="E852"/>
          <cell r="F852"/>
          <cell r="I852"/>
          <cell r="J852"/>
          <cell r="K852"/>
          <cell r="L852"/>
        </row>
        <row r="853">
          <cell r="E853"/>
          <cell r="F853"/>
          <cell r="I853"/>
          <cell r="J853"/>
          <cell r="K853"/>
          <cell r="L853"/>
        </row>
        <row r="854">
          <cell r="E854"/>
          <cell r="F854"/>
          <cell r="I854"/>
          <cell r="J854"/>
          <cell r="K854"/>
          <cell r="L854"/>
        </row>
        <row r="855">
          <cell r="E855"/>
          <cell r="F855"/>
          <cell r="I855"/>
          <cell r="J855"/>
          <cell r="K855"/>
          <cell r="L855"/>
        </row>
        <row r="856">
          <cell r="E856"/>
          <cell r="F856"/>
          <cell r="I856"/>
          <cell r="J856"/>
          <cell r="K856"/>
          <cell r="L856"/>
        </row>
        <row r="857">
          <cell r="E857"/>
          <cell r="F857"/>
          <cell r="I857"/>
          <cell r="J857"/>
          <cell r="K857"/>
          <cell r="L857"/>
        </row>
        <row r="858">
          <cell r="E858"/>
          <cell r="F858"/>
          <cell r="I858"/>
          <cell r="J858"/>
          <cell r="K858"/>
          <cell r="L858"/>
        </row>
        <row r="859">
          <cell r="E859"/>
          <cell r="F859"/>
          <cell r="I859"/>
          <cell r="J859"/>
          <cell r="K859"/>
          <cell r="L859"/>
        </row>
        <row r="860">
          <cell r="E860"/>
          <cell r="F860"/>
          <cell r="I860"/>
          <cell r="J860"/>
          <cell r="K860"/>
          <cell r="L860"/>
        </row>
        <row r="861">
          <cell r="E861"/>
          <cell r="F861"/>
          <cell r="I861"/>
          <cell r="J861"/>
          <cell r="K861"/>
          <cell r="L861"/>
        </row>
        <row r="862">
          <cell r="E862"/>
          <cell r="F862"/>
          <cell r="I862"/>
          <cell r="J862"/>
          <cell r="K862"/>
          <cell r="L862"/>
        </row>
        <row r="863">
          <cell r="E863"/>
          <cell r="F863"/>
          <cell r="I863"/>
          <cell r="J863"/>
          <cell r="K863"/>
          <cell r="L863"/>
        </row>
        <row r="864">
          <cell r="E864"/>
          <cell r="F864"/>
          <cell r="I864"/>
          <cell r="J864"/>
          <cell r="K864"/>
          <cell r="L864"/>
        </row>
        <row r="865">
          <cell r="E865"/>
          <cell r="F865"/>
          <cell r="I865"/>
          <cell r="J865"/>
          <cell r="K865"/>
          <cell r="L865"/>
        </row>
        <row r="866">
          <cell r="E866"/>
          <cell r="F866"/>
          <cell r="I866"/>
          <cell r="J866"/>
          <cell r="K866"/>
          <cell r="L866"/>
        </row>
        <row r="867">
          <cell r="E867"/>
          <cell r="F867"/>
          <cell r="I867"/>
          <cell r="J867"/>
          <cell r="K867"/>
          <cell r="L867"/>
        </row>
        <row r="868">
          <cell r="E868"/>
          <cell r="F868"/>
          <cell r="I868"/>
          <cell r="J868"/>
          <cell r="K868"/>
          <cell r="L868"/>
        </row>
        <row r="869">
          <cell r="E869"/>
          <cell r="F869"/>
          <cell r="I869"/>
          <cell r="J869"/>
          <cell r="K869"/>
          <cell r="L869"/>
        </row>
        <row r="870">
          <cell r="E870"/>
          <cell r="F870"/>
          <cell r="I870"/>
          <cell r="J870"/>
          <cell r="K870"/>
          <cell r="L870"/>
        </row>
        <row r="871">
          <cell r="E871"/>
          <cell r="F871"/>
          <cell r="I871"/>
          <cell r="J871"/>
          <cell r="K871"/>
          <cell r="L871"/>
        </row>
        <row r="872">
          <cell r="E872"/>
          <cell r="F872"/>
          <cell r="I872"/>
          <cell r="J872"/>
          <cell r="K872"/>
          <cell r="L872"/>
        </row>
        <row r="873">
          <cell r="E873"/>
          <cell r="F873"/>
          <cell r="I873"/>
          <cell r="J873"/>
          <cell r="K873"/>
          <cell r="L873"/>
        </row>
        <row r="874">
          <cell r="E874"/>
          <cell r="F874"/>
          <cell r="I874"/>
          <cell r="J874"/>
          <cell r="K874"/>
          <cell r="L874"/>
        </row>
        <row r="875">
          <cell r="E875"/>
          <cell r="F875"/>
          <cell r="I875"/>
          <cell r="J875"/>
          <cell r="K875"/>
          <cell r="L875"/>
        </row>
        <row r="876">
          <cell r="E876"/>
          <cell r="F876"/>
          <cell r="I876"/>
          <cell r="J876"/>
          <cell r="K876"/>
          <cell r="L876"/>
        </row>
        <row r="877">
          <cell r="E877"/>
          <cell r="F877"/>
          <cell r="I877"/>
          <cell r="J877"/>
          <cell r="K877"/>
          <cell r="L877"/>
        </row>
        <row r="878">
          <cell r="E878"/>
          <cell r="F878"/>
          <cell r="I878"/>
          <cell r="J878"/>
          <cell r="K878"/>
          <cell r="L878"/>
        </row>
        <row r="879">
          <cell r="E879"/>
          <cell r="F879"/>
          <cell r="I879"/>
          <cell r="J879"/>
          <cell r="K879"/>
          <cell r="L879"/>
        </row>
        <row r="880">
          <cell r="E880"/>
          <cell r="F880"/>
          <cell r="I880"/>
          <cell r="J880"/>
          <cell r="K880"/>
          <cell r="L880"/>
        </row>
        <row r="881">
          <cell r="E881"/>
          <cell r="F881"/>
          <cell r="I881"/>
          <cell r="J881"/>
          <cell r="K881"/>
          <cell r="L881"/>
        </row>
        <row r="882">
          <cell r="E882"/>
          <cell r="F882"/>
          <cell r="I882"/>
          <cell r="J882"/>
          <cell r="K882"/>
          <cell r="L882"/>
        </row>
        <row r="883">
          <cell r="E883"/>
          <cell r="F883"/>
          <cell r="I883"/>
          <cell r="J883"/>
          <cell r="K883"/>
          <cell r="L883"/>
        </row>
        <row r="884">
          <cell r="E884"/>
          <cell r="F884"/>
          <cell r="I884"/>
          <cell r="J884"/>
          <cell r="K884"/>
          <cell r="L884"/>
        </row>
        <row r="885">
          <cell r="E885"/>
          <cell r="F885"/>
          <cell r="I885"/>
          <cell r="J885"/>
          <cell r="K885"/>
          <cell r="L885"/>
        </row>
        <row r="886">
          <cell r="E886"/>
          <cell r="F886"/>
          <cell r="I886"/>
          <cell r="J886"/>
          <cell r="K886"/>
          <cell r="L886"/>
        </row>
        <row r="887">
          <cell r="E887"/>
          <cell r="F887"/>
          <cell r="I887"/>
          <cell r="J887"/>
          <cell r="K887"/>
          <cell r="L887"/>
        </row>
        <row r="888">
          <cell r="E888"/>
          <cell r="F888"/>
          <cell r="I888"/>
          <cell r="J888"/>
          <cell r="K888"/>
          <cell r="L888"/>
        </row>
        <row r="889">
          <cell r="E889"/>
          <cell r="F889"/>
          <cell r="I889"/>
          <cell r="J889"/>
          <cell r="K889"/>
          <cell r="L889"/>
        </row>
        <row r="890">
          <cell r="E890"/>
          <cell r="F890"/>
          <cell r="I890"/>
          <cell r="J890"/>
          <cell r="K890"/>
          <cell r="L890"/>
        </row>
        <row r="891">
          <cell r="E891"/>
          <cell r="F891"/>
          <cell r="I891"/>
          <cell r="J891"/>
          <cell r="K891"/>
          <cell r="L891"/>
        </row>
        <row r="892">
          <cell r="E892"/>
          <cell r="F892"/>
          <cell r="I892"/>
          <cell r="J892"/>
          <cell r="K892"/>
          <cell r="L892"/>
        </row>
        <row r="893">
          <cell r="E893"/>
          <cell r="F893"/>
          <cell r="I893"/>
          <cell r="J893"/>
          <cell r="K893"/>
          <cell r="L893"/>
        </row>
        <row r="894">
          <cell r="E894"/>
          <cell r="F894"/>
          <cell r="I894"/>
          <cell r="J894"/>
          <cell r="K894"/>
          <cell r="L894"/>
        </row>
        <row r="895">
          <cell r="E895"/>
          <cell r="F895"/>
          <cell r="I895"/>
          <cell r="J895"/>
          <cell r="K895"/>
          <cell r="L895"/>
        </row>
        <row r="896">
          <cell r="E896"/>
          <cell r="F896"/>
          <cell r="I896"/>
          <cell r="J896"/>
          <cell r="K896"/>
          <cell r="L896"/>
        </row>
        <row r="897">
          <cell r="E897"/>
          <cell r="F897"/>
          <cell r="I897"/>
          <cell r="J897"/>
          <cell r="K897"/>
          <cell r="L897"/>
        </row>
        <row r="898">
          <cell r="E898"/>
          <cell r="F898"/>
          <cell r="I898"/>
          <cell r="J898"/>
          <cell r="K898"/>
          <cell r="L898"/>
        </row>
        <row r="899">
          <cell r="E899"/>
          <cell r="F899"/>
          <cell r="I899"/>
          <cell r="J899"/>
          <cell r="K899"/>
          <cell r="L899"/>
        </row>
        <row r="900">
          <cell r="E900"/>
          <cell r="F900"/>
          <cell r="I900"/>
          <cell r="J900"/>
          <cell r="K900"/>
          <cell r="L900"/>
        </row>
        <row r="901">
          <cell r="E901"/>
          <cell r="F901"/>
          <cell r="I901"/>
          <cell r="J901"/>
          <cell r="K901"/>
          <cell r="L901"/>
        </row>
        <row r="902">
          <cell r="E902"/>
          <cell r="F902"/>
          <cell r="I902"/>
          <cell r="J902"/>
          <cell r="K902"/>
          <cell r="L902"/>
        </row>
        <row r="903">
          <cell r="E903"/>
          <cell r="F903"/>
          <cell r="I903"/>
          <cell r="J903"/>
          <cell r="K903"/>
          <cell r="L903"/>
        </row>
        <row r="904">
          <cell r="E904"/>
          <cell r="F904"/>
          <cell r="I904"/>
          <cell r="J904"/>
          <cell r="K904"/>
          <cell r="L904"/>
        </row>
        <row r="905">
          <cell r="E905"/>
          <cell r="F905"/>
          <cell r="I905"/>
          <cell r="J905"/>
          <cell r="K905"/>
          <cell r="L905"/>
        </row>
        <row r="906">
          <cell r="E906"/>
          <cell r="F906"/>
          <cell r="I906"/>
          <cell r="J906"/>
          <cell r="K906"/>
          <cell r="L906"/>
        </row>
        <row r="907">
          <cell r="E907"/>
          <cell r="F907"/>
          <cell r="I907"/>
          <cell r="J907"/>
          <cell r="K907"/>
          <cell r="L907"/>
        </row>
        <row r="908">
          <cell r="E908"/>
          <cell r="F908"/>
          <cell r="I908"/>
          <cell r="J908"/>
          <cell r="K908"/>
          <cell r="L908"/>
        </row>
        <row r="909">
          <cell r="E909"/>
          <cell r="F909"/>
          <cell r="I909"/>
          <cell r="J909"/>
          <cell r="K909"/>
          <cell r="L909"/>
        </row>
        <row r="910">
          <cell r="E910"/>
          <cell r="F910"/>
          <cell r="I910"/>
          <cell r="J910"/>
          <cell r="K910"/>
          <cell r="L910"/>
        </row>
        <row r="911">
          <cell r="E911"/>
          <cell r="F911"/>
          <cell r="I911"/>
          <cell r="J911"/>
          <cell r="K911"/>
          <cell r="L911"/>
        </row>
        <row r="912">
          <cell r="E912"/>
          <cell r="F912"/>
          <cell r="I912"/>
          <cell r="J912"/>
          <cell r="K912"/>
          <cell r="L912"/>
        </row>
        <row r="913">
          <cell r="E913"/>
          <cell r="F913"/>
          <cell r="I913"/>
          <cell r="J913"/>
          <cell r="K913"/>
          <cell r="L913"/>
        </row>
        <row r="914">
          <cell r="E914"/>
          <cell r="F914"/>
          <cell r="I914"/>
          <cell r="J914"/>
          <cell r="K914"/>
          <cell r="L914"/>
        </row>
        <row r="915">
          <cell r="E915"/>
          <cell r="F915"/>
          <cell r="I915"/>
          <cell r="J915"/>
          <cell r="K915"/>
          <cell r="L915"/>
        </row>
        <row r="916">
          <cell r="E916"/>
          <cell r="F916"/>
          <cell r="I916"/>
          <cell r="J916"/>
          <cell r="K916"/>
          <cell r="L916"/>
        </row>
        <row r="917">
          <cell r="E917"/>
          <cell r="F917"/>
          <cell r="I917"/>
          <cell r="J917"/>
          <cell r="K917"/>
          <cell r="L917"/>
        </row>
        <row r="918">
          <cell r="E918"/>
          <cell r="F918"/>
          <cell r="I918"/>
          <cell r="J918"/>
          <cell r="K918"/>
          <cell r="L918"/>
        </row>
        <row r="919">
          <cell r="E919"/>
          <cell r="F919"/>
          <cell r="I919"/>
          <cell r="J919"/>
          <cell r="K919"/>
          <cell r="L919"/>
        </row>
        <row r="920">
          <cell r="E920"/>
          <cell r="F920"/>
          <cell r="I920"/>
          <cell r="J920"/>
          <cell r="K920"/>
          <cell r="L920"/>
        </row>
        <row r="921">
          <cell r="E921"/>
          <cell r="F921"/>
          <cell r="I921"/>
          <cell r="J921"/>
          <cell r="K921"/>
          <cell r="L921"/>
        </row>
        <row r="922">
          <cell r="E922"/>
          <cell r="F922"/>
          <cell r="I922"/>
          <cell r="J922"/>
          <cell r="K922"/>
          <cell r="L922"/>
        </row>
        <row r="923">
          <cell r="E923"/>
          <cell r="F923"/>
          <cell r="I923"/>
          <cell r="J923"/>
          <cell r="K923"/>
          <cell r="L923"/>
        </row>
        <row r="924">
          <cell r="E924"/>
          <cell r="F924"/>
          <cell r="I924"/>
          <cell r="J924"/>
          <cell r="K924"/>
          <cell r="L924"/>
        </row>
        <row r="925">
          <cell r="E925"/>
          <cell r="F925"/>
          <cell r="I925"/>
          <cell r="J925"/>
          <cell r="K925"/>
          <cell r="L925"/>
        </row>
        <row r="926">
          <cell r="E926"/>
          <cell r="F926"/>
          <cell r="I926"/>
          <cell r="J926"/>
          <cell r="K926"/>
          <cell r="L926"/>
        </row>
        <row r="927">
          <cell r="E927"/>
          <cell r="F927"/>
          <cell r="I927"/>
          <cell r="J927"/>
          <cell r="K927"/>
          <cell r="L927"/>
        </row>
        <row r="928">
          <cell r="E928"/>
          <cell r="F928"/>
          <cell r="I928"/>
          <cell r="J928"/>
          <cell r="K928"/>
          <cell r="L928"/>
        </row>
        <row r="929">
          <cell r="E929"/>
          <cell r="F929"/>
          <cell r="I929"/>
          <cell r="J929"/>
          <cell r="K929"/>
          <cell r="L929"/>
        </row>
        <row r="930">
          <cell r="E930"/>
          <cell r="F930"/>
          <cell r="I930"/>
          <cell r="J930"/>
          <cell r="K930"/>
          <cell r="L930"/>
        </row>
        <row r="931">
          <cell r="E931"/>
          <cell r="F931"/>
          <cell r="I931"/>
          <cell r="J931"/>
          <cell r="K931"/>
          <cell r="L931"/>
        </row>
        <row r="932">
          <cell r="E932"/>
          <cell r="F932"/>
          <cell r="I932"/>
          <cell r="J932"/>
          <cell r="K932"/>
          <cell r="L932"/>
        </row>
        <row r="933">
          <cell r="E933"/>
          <cell r="F933"/>
          <cell r="I933"/>
          <cell r="J933"/>
          <cell r="K933"/>
          <cell r="L933"/>
        </row>
        <row r="934">
          <cell r="E934"/>
          <cell r="F934"/>
          <cell r="I934"/>
          <cell r="J934"/>
          <cell r="K934"/>
          <cell r="L934"/>
        </row>
        <row r="935">
          <cell r="E935"/>
          <cell r="F935"/>
          <cell r="I935"/>
          <cell r="J935"/>
          <cell r="K935"/>
          <cell r="L935"/>
        </row>
        <row r="936">
          <cell r="E936"/>
          <cell r="F936"/>
          <cell r="I936"/>
          <cell r="J936"/>
          <cell r="K936"/>
          <cell r="L936"/>
        </row>
        <row r="937">
          <cell r="E937"/>
          <cell r="F937"/>
          <cell r="I937"/>
          <cell r="J937"/>
          <cell r="K937"/>
          <cell r="L937"/>
        </row>
        <row r="938">
          <cell r="E938"/>
          <cell r="F938"/>
          <cell r="I938"/>
          <cell r="J938"/>
          <cell r="K938"/>
          <cell r="L938"/>
        </row>
        <row r="939">
          <cell r="E939"/>
          <cell r="F939"/>
          <cell r="I939"/>
          <cell r="J939"/>
          <cell r="K939"/>
          <cell r="L939"/>
        </row>
        <row r="940">
          <cell r="E940"/>
          <cell r="F940"/>
          <cell r="I940"/>
          <cell r="J940"/>
          <cell r="K940"/>
          <cell r="L940"/>
        </row>
        <row r="941">
          <cell r="E941"/>
          <cell r="F941"/>
          <cell r="I941"/>
          <cell r="J941"/>
          <cell r="K941"/>
          <cell r="L941"/>
        </row>
        <row r="942">
          <cell r="E942"/>
          <cell r="F942"/>
          <cell r="I942"/>
          <cell r="J942"/>
          <cell r="K942"/>
          <cell r="L942"/>
        </row>
        <row r="943">
          <cell r="E943"/>
          <cell r="F943"/>
          <cell r="I943"/>
          <cell r="J943"/>
          <cell r="K943"/>
          <cell r="L943"/>
        </row>
        <row r="944">
          <cell r="E944"/>
          <cell r="F944"/>
          <cell r="I944"/>
          <cell r="J944"/>
          <cell r="K944"/>
          <cell r="L944"/>
        </row>
        <row r="945">
          <cell r="E945"/>
          <cell r="F945"/>
          <cell r="I945"/>
          <cell r="J945"/>
          <cell r="K945"/>
          <cell r="L945"/>
        </row>
        <row r="946">
          <cell r="E946"/>
          <cell r="F946"/>
          <cell r="I946"/>
          <cell r="J946"/>
          <cell r="K946"/>
          <cell r="L946"/>
        </row>
        <row r="947">
          <cell r="E947"/>
          <cell r="F947"/>
          <cell r="I947"/>
          <cell r="J947"/>
          <cell r="K947"/>
          <cell r="L947"/>
        </row>
        <row r="948">
          <cell r="E948"/>
          <cell r="F948"/>
          <cell r="I948"/>
          <cell r="J948"/>
          <cell r="K948"/>
          <cell r="L948"/>
        </row>
        <row r="949">
          <cell r="E949"/>
          <cell r="F949"/>
          <cell r="I949"/>
          <cell r="J949"/>
          <cell r="K949"/>
          <cell r="L949"/>
        </row>
        <row r="950">
          <cell r="E950"/>
          <cell r="F950"/>
          <cell r="I950"/>
          <cell r="J950"/>
          <cell r="K950"/>
          <cell r="L950"/>
        </row>
        <row r="951">
          <cell r="E951"/>
          <cell r="F951"/>
          <cell r="I951"/>
          <cell r="J951"/>
          <cell r="K951"/>
          <cell r="L951"/>
        </row>
        <row r="952">
          <cell r="E952"/>
          <cell r="F952"/>
          <cell r="I952"/>
          <cell r="J952"/>
          <cell r="K952"/>
          <cell r="L952"/>
        </row>
        <row r="953">
          <cell r="E953"/>
          <cell r="F953"/>
          <cell r="I953"/>
          <cell r="J953"/>
          <cell r="K953"/>
          <cell r="L953"/>
        </row>
        <row r="954">
          <cell r="E954"/>
          <cell r="F954"/>
          <cell r="I954"/>
          <cell r="J954"/>
          <cell r="K954"/>
          <cell r="L954"/>
        </row>
        <row r="955">
          <cell r="E955"/>
          <cell r="F955"/>
          <cell r="I955"/>
          <cell r="J955"/>
          <cell r="K955"/>
          <cell r="L955"/>
        </row>
        <row r="956">
          <cell r="E956"/>
          <cell r="F956"/>
          <cell r="I956"/>
          <cell r="J956"/>
          <cell r="K956"/>
          <cell r="L956"/>
        </row>
        <row r="957">
          <cell r="E957"/>
          <cell r="F957"/>
          <cell r="I957"/>
          <cell r="J957"/>
          <cell r="K957"/>
          <cell r="L957"/>
        </row>
        <row r="958">
          <cell r="E958"/>
          <cell r="F958"/>
          <cell r="I958"/>
          <cell r="J958"/>
          <cell r="K958"/>
          <cell r="L958"/>
        </row>
        <row r="959">
          <cell r="E959"/>
          <cell r="F959"/>
          <cell r="I959"/>
          <cell r="J959"/>
          <cell r="K959"/>
          <cell r="L959"/>
        </row>
        <row r="960">
          <cell r="E960"/>
          <cell r="F960"/>
          <cell r="I960"/>
          <cell r="J960"/>
          <cell r="K960"/>
          <cell r="L960"/>
        </row>
        <row r="961">
          <cell r="E961"/>
          <cell r="F961"/>
          <cell r="I961"/>
          <cell r="J961"/>
          <cell r="K961"/>
          <cell r="L961"/>
        </row>
        <row r="962">
          <cell r="E962"/>
          <cell r="F962"/>
          <cell r="I962"/>
          <cell r="J962"/>
          <cell r="K962"/>
          <cell r="L962"/>
        </row>
        <row r="963">
          <cell r="E963"/>
          <cell r="F963"/>
          <cell r="I963"/>
          <cell r="J963"/>
          <cell r="K963"/>
          <cell r="L963"/>
        </row>
        <row r="964">
          <cell r="E964"/>
          <cell r="F964"/>
          <cell r="I964"/>
          <cell r="J964"/>
          <cell r="K964"/>
          <cell r="L964"/>
        </row>
        <row r="965">
          <cell r="E965"/>
          <cell r="F965"/>
          <cell r="I965"/>
          <cell r="J965"/>
          <cell r="K965"/>
          <cell r="L965"/>
        </row>
        <row r="966">
          <cell r="E966"/>
          <cell r="F966"/>
          <cell r="I966"/>
          <cell r="J966"/>
          <cell r="K966"/>
          <cell r="L966"/>
        </row>
        <row r="967">
          <cell r="E967"/>
          <cell r="F967"/>
          <cell r="I967"/>
          <cell r="J967"/>
          <cell r="K967"/>
          <cell r="L967"/>
        </row>
        <row r="968">
          <cell r="E968"/>
          <cell r="F968"/>
          <cell r="I968"/>
          <cell r="J968"/>
          <cell r="K968"/>
          <cell r="L968"/>
        </row>
        <row r="969">
          <cell r="E969"/>
          <cell r="F969"/>
          <cell r="I969"/>
          <cell r="J969"/>
          <cell r="K969"/>
          <cell r="L969"/>
        </row>
        <row r="970">
          <cell r="E970"/>
          <cell r="F970"/>
          <cell r="I970"/>
          <cell r="J970"/>
          <cell r="K970"/>
          <cell r="L970"/>
        </row>
        <row r="971">
          <cell r="E971"/>
          <cell r="F971"/>
          <cell r="I971"/>
          <cell r="J971"/>
          <cell r="K971"/>
          <cell r="L971"/>
        </row>
        <row r="972">
          <cell r="E972"/>
          <cell r="F972"/>
          <cell r="I972"/>
          <cell r="J972"/>
          <cell r="K972"/>
          <cell r="L972"/>
        </row>
        <row r="973">
          <cell r="E973"/>
          <cell r="F973"/>
          <cell r="I973"/>
          <cell r="J973"/>
          <cell r="K973"/>
          <cell r="L973"/>
        </row>
        <row r="974">
          <cell r="E974"/>
          <cell r="F974"/>
          <cell r="I974"/>
          <cell r="J974"/>
          <cell r="K974"/>
          <cell r="L974"/>
        </row>
        <row r="975">
          <cell r="E975"/>
          <cell r="F975"/>
          <cell r="I975"/>
          <cell r="J975"/>
          <cell r="K975"/>
          <cell r="L975"/>
        </row>
        <row r="976">
          <cell r="E976"/>
          <cell r="F976"/>
          <cell r="I976"/>
          <cell r="J976"/>
          <cell r="K976"/>
          <cell r="L976"/>
        </row>
        <row r="977">
          <cell r="E977"/>
          <cell r="F977"/>
          <cell r="I977"/>
          <cell r="J977"/>
          <cell r="K977"/>
          <cell r="L977"/>
        </row>
        <row r="978">
          <cell r="E978"/>
          <cell r="F978"/>
          <cell r="I978"/>
          <cell r="J978"/>
          <cell r="K978"/>
          <cell r="L978"/>
        </row>
        <row r="979">
          <cell r="E979"/>
          <cell r="F979"/>
          <cell r="I979"/>
          <cell r="J979"/>
          <cell r="K979"/>
          <cell r="L979"/>
        </row>
        <row r="980">
          <cell r="E980"/>
          <cell r="F980"/>
          <cell r="I980"/>
          <cell r="J980"/>
          <cell r="K980"/>
          <cell r="L980"/>
        </row>
        <row r="981">
          <cell r="E981"/>
          <cell r="F981"/>
          <cell r="I981"/>
          <cell r="J981"/>
          <cell r="K981"/>
          <cell r="L981"/>
        </row>
        <row r="982">
          <cell r="E982"/>
          <cell r="F982"/>
          <cell r="I982"/>
          <cell r="J982"/>
          <cell r="K982"/>
          <cell r="L982"/>
        </row>
        <row r="983">
          <cell r="E983"/>
          <cell r="F983"/>
          <cell r="I983"/>
          <cell r="J983"/>
          <cell r="K983"/>
          <cell r="L983"/>
        </row>
        <row r="984">
          <cell r="E984"/>
          <cell r="F984"/>
          <cell r="I984"/>
          <cell r="J984"/>
          <cell r="K984"/>
          <cell r="L984"/>
        </row>
        <row r="985">
          <cell r="E985"/>
          <cell r="F985"/>
          <cell r="I985"/>
          <cell r="J985"/>
          <cell r="K985"/>
          <cell r="L985"/>
        </row>
        <row r="986">
          <cell r="E986"/>
          <cell r="F986"/>
          <cell r="I986"/>
          <cell r="J986"/>
          <cell r="K986"/>
          <cell r="L986"/>
        </row>
        <row r="987">
          <cell r="E987"/>
          <cell r="F987"/>
          <cell r="I987"/>
          <cell r="J987"/>
          <cell r="K987"/>
          <cell r="L987"/>
        </row>
        <row r="988">
          <cell r="E988"/>
          <cell r="F988"/>
          <cell r="I988"/>
          <cell r="J988"/>
          <cell r="K988"/>
          <cell r="L988"/>
        </row>
        <row r="989">
          <cell r="E989"/>
          <cell r="F989"/>
          <cell r="I989"/>
          <cell r="J989"/>
          <cell r="K989"/>
          <cell r="L989"/>
        </row>
        <row r="990">
          <cell r="E990"/>
          <cell r="F990"/>
          <cell r="I990"/>
          <cell r="J990"/>
          <cell r="K990"/>
          <cell r="L990"/>
        </row>
        <row r="991">
          <cell r="E991"/>
          <cell r="F991"/>
          <cell r="I991"/>
          <cell r="J991"/>
          <cell r="K991"/>
          <cell r="L991"/>
        </row>
        <row r="992">
          <cell r="E992"/>
          <cell r="F992"/>
          <cell r="I992"/>
          <cell r="J992"/>
          <cell r="K992"/>
          <cell r="L992"/>
        </row>
        <row r="993">
          <cell r="E993"/>
          <cell r="F993"/>
          <cell r="I993"/>
          <cell r="J993"/>
          <cell r="K993"/>
          <cell r="L993"/>
        </row>
        <row r="994">
          <cell r="E994"/>
          <cell r="F994"/>
          <cell r="I994"/>
          <cell r="J994"/>
          <cell r="K994"/>
          <cell r="L994"/>
        </row>
        <row r="995">
          <cell r="E995"/>
          <cell r="F995"/>
          <cell r="I995"/>
          <cell r="J995"/>
          <cell r="K995"/>
          <cell r="L995"/>
        </row>
        <row r="996">
          <cell r="E996"/>
          <cell r="F996"/>
          <cell r="I996"/>
          <cell r="J996"/>
          <cell r="K996"/>
          <cell r="L996"/>
        </row>
        <row r="997">
          <cell r="E997"/>
          <cell r="F997"/>
          <cell r="I997"/>
          <cell r="J997"/>
          <cell r="K997"/>
          <cell r="L997"/>
        </row>
        <row r="998">
          <cell r="E998"/>
          <cell r="F998"/>
          <cell r="I998"/>
          <cell r="J998"/>
          <cell r="K998"/>
          <cell r="L998"/>
        </row>
        <row r="999">
          <cell r="E999"/>
          <cell r="F999"/>
          <cell r="I999"/>
          <cell r="J999"/>
          <cell r="K999"/>
          <cell r="L999"/>
        </row>
        <row r="1000">
          <cell r="E1000"/>
          <cell r="F1000"/>
          <cell r="I1000"/>
          <cell r="J1000"/>
          <cell r="K1000"/>
          <cell r="L1000"/>
        </row>
        <row r="1001">
          <cell r="E1001"/>
          <cell r="F1001"/>
          <cell r="I1001"/>
          <cell r="J1001"/>
          <cell r="K1001"/>
          <cell r="L1001"/>
        </row>
        <row r="1002">
          <cell r="E1002"/>
          <cell r="F1002"/>
          <cell r="I1002"/>
          <cell r="J1002"/>
          <cell r="K1002"/>
          <cell r="L1002"/>
        </row>
        <row r="1003">
          <cell r="E1003"/>
          <cell r="F1003"/>
          <cell r="I1003"/>
          <cell r="J1003"/>
          <cell r="K1003"/>
          <cell r="L1003"/>
        </row>
        <row r="1004">
          <cell r="E1004"/>
          <cell r="F1004"/>
          <cell r="I1004"/>
          <cell r="J1004"/>
          <cell r="K1004"/>
          <cell r="L1004"/>
        </row>
        <row r="1005">
          <cell r="E1005"/>
          <cell r="F1005"/>
          <cell r="I1005"/>
          <cell r="J1005"/>
          <cell r="K1005"/>
          <cell r="L1005"/>
        </row>
        <row r="1006">
          <cell r="E1006"/>
          <cell r="F1006"/>
          <cell r="I1006"/>
          <cell r="J1006"/>
          <cell r="K1006"/>
          <cell r="L1006"/>
        </row>
        <row r="1007">
          <cell r="E1007"/>
          <cell r="F1007"/>
          <cell r="I1007"/>
          <cell r="J1007"/>
          <cell r="K1007"/>
          <cell r="L1007"/>
        </row>
        <row r="1008">
          <cell r="E1008"/>
          <cell r="F1008"/>
          <cell r="I1008"/>
          <cell r="J1008"/>
          <cell r="K1008"/>
          <cell r="L1008"/>
        </row>
        <row r="1009">
          <cell r="E1009"/>
          <cell r="F1009"/>
          <cell r="I1009"/>
          <cell r="J1009"/>
          <cell r="K1009"/>
          <cell r="L1009"/>
        </row>
        <row r="1010">
          <cell r="E1010"/>
          <cell r="F1010"/>
          <cell r="I1010"/>
          <cell r="J1010"/>
          <cell r="K1010"/>
          <cell r="L1010"/>
        </row>
        <row r="1011">
          <cell r="E1011"/>
          <cell r="F1011"/>
          <cell r="I1011"/>
          <cell r="J1011"/>
          <cell r="K1011"/>
          <cell r="L1011"/>
        </row>
        <row r="1012">
          <cell r="E1012"/>
          <cell r="F1012"/>
          <cell r="I1012"/>
          <cell r="J1012"/>
          <cell r="K1012"/>
          <cell r="L1012"/>
        </row>
        <row r="1013">
          <cell r="E1013"/>
          <cell r="F1013"/>
          <cell r="I1013"/>
          <cell r="J1013"/>
          <cell r="K1013"/>
          <cell r="L1013"/>
        </row>
        <row r="1014">
          <cell r="E1014"/>
          <cell r="F1014"/>
          <cell r="I1014"/>
          <cell r="J1014"/>
          <cell r="K1014"/>
          <cell r="L1014"/>
        </row>
        <row r="1015">
          <cell r="E1015"/>
          <cell r="F1015"/>
          <cell r="I1015"/>
          <cell r="J1015"/>
          <cell r="K1015"/>
          <cell r="L1015"/>
        </row>
        <row r="1016">
          <cell r="E1016"/>
          <cell r="F1016"/>
          <cell r="I1016"/>
          <cell r="J1016"/>
          <cell r="K1016"/>
          <cell r="L1016"/>
        </row>
        <row r="1017">
          <cell r="E1017"/>
          <cell r="F1017"/>
          <cell r="I1017"/>
          <cell r="J1017"/>
          <cell r="K1017"/>
          <cell r="L1017"/>
        </row>
        <row r="1018">
          <cell r="E1018"/>
          <cell r="F1018"/>
          <cell r="I1018"/>
          <cell r="J1018"/>
          <cell r="K1018"/>
          <cell r="L1018"/>
        </row>
        <row r="1019">
          <cell r="E1019"/>
          <cell r="F1019"/>
          <cell r="I1019"/>
          <cell r="J1019"/>
          <cell r="K1019"/>
          <cell r="L1019"/>
        </row>
        <row r="1020">
          <cell r="E1020"/>
          <cell r="F1020"/>
          <cell r="I1020"/>
          <cell r="J1020"/>
          <cell r="K1020"/>
          <cell r="L1020"/>
        </row>
        <row r="1021">
          <cell r="E1021"/>
          <cell r="F1021"/>
          <cell r="I1021"/>
          <cell r="J1021"/>
          <cell r="K1021"/>
          <cell r="L1021"/>
        </row>
        <row r="1022">
          <cell r="E1022"/>
          <cell r="F1022"/>
          <cell r="I1022"/>
          <cell r="J1022"/>
          <cell r="K1022"/>
          <cell r="L1022"/>
        </row>
        <row r="1023">
          <cell r="E1023"/>
          <cell r="F1023"/>
          <cell r="I1023"/>
          <cell r="J1023"/>
          <cell r="K1023"/>
          <cell r="L1023"/>
        </row>
        <row r="1024">
          <cell r="E1024"/>
          <cell r="F1024"/>
          <cell r="I1024"/>
          <cell r="J1024"/>
          <cell r="K1024"/>
          <cell r="L1024"/>
        </row>
        <row r="1025">
          <cell r="E1025"/>
          <cell r="F1025"/>
          <cell r="I1025"/>
          <cell r="J1025"/>
          <cell r="K1025"/>
          <cell r="L1025"/>
        </row>
        <row r="1026">
          <cell r="E1026"/>
          <cell r="F1026"/>
          <cell r="I1026"/>
          <cell r="J1026"/>
          <cell r="K1026"/>
          <cell r="L1026"/>
        </row>
        <row r="1027">
          <cell r="E1027"/>
          <cell r="F1027"/>
          <cell r="I1027"/>
          <cell r="J1027"/>
          <cell r="K1027"/>
          <cell r="L1027"/>
        </row>
        <row r="1028">
          <cell r="E1028"/>
          <cell r="F1028"/>
          <cell r="I1028"/>
          <cell r="J1028"/>
          <cell r="K1028"/>
          <cell r="L1028"/>
        </row>
        <row r="1029">
          <cell r="E1029"/>
          <cell r="F1029"/>
          <cell r="I1029"/>
          <cell r="J1029"/>
          <cell r="K1029"/>
          <cell r="L1029"/>
        </row>
        <row r="1030">
          <cell r="E1030"/>
          <cell r="F1030"/>
          <cell r="I1030"/>
          <cell r="J1030"/>
          <cell r="K1030"/>
          <cell r="L1030"/>
        </row>
        <row r="1031">
          <cell r="E1031"/>
          <cell r="F1031"/>
          <cell r="I1031"/>
          <cell r="J1031"/>
          <cell r="K1031"/>
          <cell r="L1031"/>
        </row>
        <row r="1032">
          <cell r="E1032"/>
          <cell r="F1032"/>
          <cell r="I1032"/>
          <cell r="J1032"/>
          <cell r="K1032"/>
          <cell r="L1032"/>
        </row>
        <row r="1033">
          <cell r="E1033"/>
          <cell r="F1033"/>
          <cell r="I1033"/>
          <cell r="J1033"/>
          <cell r="K1033"/>
          <cell r="L1033"/>
        </row>
        <row r="1034">
          <cell r="E1034"/>
          <cell r="F1034"/>
          <cell r="I1034"/>
          <cell r="J1034"/>
          <cell r="K1034"/>
          <cell r="L1034"/>
        </row>
        <row r="1035">
          <cell r="E1035"/>
          <cell r="F1035"/>
          <cell r="I1035"/>
          <cell r="J1035"/>
          <cell r="K1035"/>
          <cell r="L1035"/>
        </row>
        <row r="1036">
          <cell r="E1036"/>
          <cell r="F1036"/>
          <cell r="I1036"/>
          <cell r="J1036"/>
          <cell r="K1036"/>
          <cell r="L1036"/>
        </row>
        <row r="1037">
          <cell r="E1037"/>
          <cell r="F1037"/>
          <cell r="I1037"/>
          <cell r="J1037"/>
          <cell r="K1037"/>
          <cell r="L1037"/>
        </row>
        <row r="1038">
          <cell r="E1038"/>
          <cell r="F1038"/>
          <cell r="I1038"/>
          <cell r="J1038"/>
          <cell r="K1038"/>
          <cell r="L1038"/>
        </row>
        <row r="1039">
          <cell r="E1039"/>
          <cell r="F1039"/>
          <cell r="I1039"/>
          <cell r="J1039"/>
          <cell r="K1039"/>
          <cell r="L1039"/>
        </row>
        <row r="1040">
          <cell r="E1040"/>
          <cell r="F1040"/>
          <cell r="I1040"/>
          <cell r="J1040"/>
          <cell r="K1040"/>
          <cell r="L1040"/>
        </row>
        <row r="1041">
          <cell r="E1041"/>
          <cell r="F1041"/>
          <cell r="I1041"/>
          <cell r="J1041"/>
          <cell r="K1041"/>
          <cell r="L1041"/>
        </row>
        <row r="1042">
          <cell r="E1042"/>
          <cell r="F1042"/>
          <cell r="I1042"/>
          <cell r="J1042"/>
          <cell r="K1042"/>
          <cell r="L1042"/>
        </row>
        <row r="1043">
          <cell r="E1043"/>
          <cell r="F1043"/>
          <cell r="I1043"/>
          <cell r="J1043"/>
          <cell r="K1043"/>
          <cell r="L1043"/>
        </row>
        <row r="1044">
          <cell r="E1044"/>
          <cell r="F1044"/>
          <cell r="I1044"/>
          <cell r="J1044"/>
          <cell r="K1044"/>
          <cell r="L1044"/>
        </row>
        <row r="1045">
          <cell r="E1045"/>
          <cell r="F1045"/>
          <cell r="I1045"/>
          <cell r="J1045"/>
          <cell r="K1045"/>
          <cell r="L1045"/>
        </row>
        <row r="1046">
          <cell r="E1046"/>
          <cell r="F1046"/>
          <cell r="I1046"/>
          <cell r="J1046"/>
          <cell r="K1046"/>
          <cell r="L1046"/>
        </row>
        <row r="1047">
          <cell r="E1047"/>
          <cell r="F1047"/>
          <cell r="I1047"/>
          <cell r="J1047"/>
          <cell r="K1047"/>
          <cell r="L1047"/>
        </row>
        <row r="1048">
          <cell r="E1048"/>
          <cell r="F1048"/>
          <cell r="I1048"/>
          <cell r="J1048"/>
          <cell r="K1048"/>
          <cell r="L1048"/>
        </row>
        <row r="1049">
          <cell r="E1049"/>
          <cell r="F1049"/>
          <cell r="I1049"/>
          <cell r="J1049"/>
          <cell r="K1049"/>
          <cell r="L1049"/>
        </row>
        <row r="1050">
          <cell r="E1050"/>
          <cell r="F1050"/>
          <cell r="I1050"/>
          <cell r="J1050"/>
          <cell r="K1050"/>
          <cell r="L1050"/>
        </row>
        <row r="1051">
          <cell r="E1051"/>
          <cell r="F1051"/>
          <cell r="I1051"/>
          <cell r="J1051"/>
          <cell r="K1051"/>
          <cell r="L1051"/>
        </row>
        <row r="1052">
          <cell r="E1052"/>
          <cell r="F1052"/>
          <cell r="I1052"/>
          <cell r="J1052"/>
          <cell r="K1052"/>
          <cell r="L1052"/>
        </row>
        <row r="1053">
          <cell r="E1053"/>
          <cell r="F1053"/>
          <cell r="I1053"/>
          <cell r="J1053"/>
          <cell r="K1053"/>
          <cell r="L1053"/>
        </row>
        <row r="1054">
          <cell r="E1054"/>
          <cell r="F1054"/>
          <cell r="I1054"/>
          <cell r="J1054"/>
          <cell r="K1054"/>
          <cell r="L1054"/>
        </row>
        <row r="1055">
          <cell r="E1055"/>
          <cell r="F1055"/>
          <cell r="I1055"/>
          <cell r="J1055"/>
          <cell r="K1055"/>
          <cell r="L1055"/>
        </row>
        <row r="1056">
          <cell r="E1056"/>
          <cell r="F1056"/>
          <cell r="I1056"/>
          <cell r="J1056"/>
          <cell r="K1056"/>
          <cell r="L1056"/>
        </row>
        <row r="1057">
          <cell r="E1057"/>
          <cell r="F1057"/>
          <cell r="I1057"/>
          <cell r="J1057"/>
          <cell r="K1057"/>
          <cell r="L1057"/>
        </row>
        <row r="1058">
          <cell r="E1058"/>
          <cell r="F1058"/>
          <cell r="I1058"/>
          <cell r="J1058"/>
          <cell r="K1058"/>
          <cell r="L1058"/>
        </row>
        <row r="1059">
          <cell r="E1059"/>
          <cell r="F1059"/>
          <cell r="I1059"/>
          <cell r="J1059"/>
          <cell r="K1059"/>
          <cell r="L1059"/>
        </row>
        <row r="1060">
          <cell r="E1060"/>
          <cell r="F1060"/>
          <cell r="I1060"/>
          <cell r="J1060"/>
          <cell r="K1060"/>
          <cell r="L1060"/>
        </row>
        <row r="1061">
          <cell r="E1061"/>
          <cell r="F1061"/>
          <cell r="I1061"/>
          <cell r="J1061"/>
          <cell r="K1061"/>
          <cell r="L1061"/>
        </row>
        <row r="1062">
          <cell r="E1062"/>
          <cell r="F1062"/>
          <cell r="I1062"/>
          <cell r="J1062"/>
          <cell r="K1062"/>
          <cell r="L1062"/>
        </row>
        <row r="1063">
          <cell r="E1063"/>
          <cell r="F1063"/>
          <cell r="I1063"/>
          <cell r="J1063"/>
          <cell r="K1063"/>
          <cell r="L1063"/>
        </row>
        <row r="1064">
          <cell r="E1064"/>
          <cell r="F1064"/>
          <cell r="I1064"/>
          <cell r="J1064"/>
          <cell r="K1064"/>
          <cell r="L1064"/>
        </row>
        <row r="1065">
          <cell r="E1065"/>
          <cell r="F1065"/>
          <cell r="I1065"/>
          <cell r="J1065"/>
          <cell r="K1065"/>
          <cell r="L1065"/>
        </row>
        <row r="1066">
          <cell r="E1066"/>
          <cell r="F1066"/>
          <cell r="I1066"/>
          <cell r="J1066"/>
          <cell r="K1066"/>
          <cell r="L1066"/>
        </row>
        <row r="1067">
          <cell r="E1067"/>
          <cell r="F1067"/>
          <cell r="I1067"/>
          <cell r="J1067"/>
          <cell r="K1067"/>
          <cell r="L1067"/>
        </row>
        <row r="1068">
          <cell r="E1068"/>
          <cell r="F1068"/>
          <cell r="I1068"/>
          <cell r="J1068"/>
          <cell r="K1068"/>
          <cell r="L1068"/>
        </row>
        <row r="1069">
          <cell r="E1069"/>
          <cell r="F1069"/>
          <cell r="I1069"/>
          <cell r="J1069"/>
          <cell r="K1069"/>
          <cell r="L1069"/>
        </row>
        <row r="1070">
          <cell r="E1070"/>
          <cell r="F1070"/>
          <cell r="I1070"/>
          <cell r="J1070"/>
          <cell r="K1070"/>
          <cell r="L1070"/>
        </row>
        <row r="1071">
          <cell r="E1071"/>
          <cell r="F1071"/>
          <cell r="I1071"/>
          <cell r="J1071"/>
          <cell r="K1071"/>
          <cell r="L1071"/>
        </row>
        <row r="1072">
          <cell r="E1072"/>
          <cell r="F1072"/>
          <cell r="I1072"/>
          <cell r="J1072"/>
          <cell r="K1072"/>
          <cell r="L1072"/>
        </row>
        <row r="1073">
          <cell r="E1073"/>
          <cell r="F1073"/>
          <cell r="I1073"/>
          <cell r="J1073"/>
          <cell r="K1073"/>
          <cell r="L1073"/>
        </row>
        <row r="1074">
          <cell r="E1074"/>
          <cell r="F1074"/>
          <cell r="I1074"/>
          <cell r="J1074"/>
          <cell r="K1074"/>
          <cell r="L1074"/>
        </row>
        <row r="1075">
          <cell r="E1075"/>
          <cell r="F1075"/>
          <cell r="I1075"/>
          <cell r="J1075"/>
          <cell r="K1075"/>
          <cell r="L1075"/>
        </row>
        <row r="1076">
          <cell r="E1076"/>
          <cell r="F1076"/>
          <cell r="I1076"/>
          <cell r="J1076"/>
          <cell r="K1076"/>
          <cell r="L1076"/>
        </row>
        <row r="1077">
          <cell r="E1077"/>
          <cell r="F1077"/>
          <cell r="I1077"/>
          <cell r="J1077"/>
          <cell r="K1077"/>
          <cell r="L1077"/>
        </row>
        <row r="1078">
          <cell r="E1078"/>
          <cell r="F1078"/>
          <cell r="I1078"/>
          <cell r="J1078"/>
          <cell r="K1078"/>
          <cell r="L1078"/>
        </row>
        <row r="1079">
          <cell r="E1079"/>
          <cell r="F1079"/>
          <cell r="I1079"/>
          <cell r="J1079"/>
          <cell r="K1079"/>
          <cell r="L1079"/>
        </row>
        <row r="1080">
          <cell r="E1080"/>
          <cell r="F1080"/>
          <cell r="I1080"/>
          <cell r="J1080"/>
          <cell r="K1080"/>
          <cell r="L1080"/>
        </row>
        <row r="1081">
          <cell r="E1081"/>
          <cell r="F1081"/>
          <cell r="I1081"/>
          <cell r="J1081"/>
          <cell r="K1081"/>
          <cell r="L1081"/>
        </row>
        <row r="1082">
          <cell r="E1082"/>
          <cell r="F1082"/>
          <cell r="I1082"/>
          <cell r="J1082"/>
          <cell r="K1082"/>
          <cell r="L1082"/>
        </row>
        <row r="1083">
          <cell r="E1083"/>
          <cell r="F1083"/>
          <cell r="I1083"/>
          <cell r="J1083"/>
          <cell r="K1083"/>
          <cell r="L1083"/>
        </row>
        <row r="1084">
          <cell r="E1084"/>
          <cell r="F1084"/>
          <cell r="I1084"/>
          <cell r="J1084"/>
          <cell r="K1084"/>
          <cell r="L1084"/>
        </row>
        <row r="1085">
          <cell r="E1085"/>
          <cell r="F1085"/>
          <cell r="I1085"/>
          <cell r="J1085"/>
          <cell r="K1085"/>
          <cell r="L1085"/>
        </row>
        <row r="1086">
          <cell r="E1086"/>
          <cell r="F1086"/>
          <cell r="I1086"/>
          <cell r="J1086"/>
          <cell r="K1086"/>
          <cell r="L1086"/>
        </row>
        <row r="1087">
          <cell r="E1087"/>
          <cell r="F1087"/>
          <cell r="I1087"/>
          <cell r="J1087"/>
          <cell r="K1087"/>
          <cell r="L1087"/>
        </row>
        <row r="1088">
          <cell r="E1088"/>
          <cell r="F1088"/>
          <cell r="I1088"/>
          <cell r="J1088"/>
          <cell r="K1088"/>
          <cell r="L1088"/>
        </row>
        <row r="1089">
          <cell r="E1089"/>
          <cell r="F1089"/>
          <cell r="I1089"/>
          <cell r="J1089"/>
          <cell r="K1089"/>
          <cell r="L1089"/>
        </row>
        <row r="1090">
          <cell r="E1090"/>
          <cell r="F1090"/>
          <cell r="I1090"/>
          <cell r="J1090"/>
          <cell r="K1090"/>
          <cell r="L1090"/>
        </row>
        <row r="1091">
          <cell r="E1091"/>
          <cell r="F1091"/>
          <cell r="I1091"/>
          <cell r="J1091"/>
          <cell r="K1091"/>
          <cell r="L1091"/>
        </row>
        <row r="1092">
          <cell r="E1092"/>
          <cell r="F1092"/>
          <cell r="I1092"/>
          <cell r="J1092"/>
          <cell r="K1092"/>
          <cell r="L1092"/>
        </row>
        <row r="1093">
          <cell r="E1093"/>
          <cell r="F1093"/>
          <cell r="I1093"/>
          <cell r="J1093"/>
          <cell r="K1093"/>
          <cell r="L1093"/>
        </row>
        <row r="1094">
          <cell r="E1094"/>
          <cell r="F1094"/>
          <cell r="I1094"/>
          <cell r="J1094"/>
          <cell r="K1094"/>
          <cell r="L1094"/>
        </row>
        <row r="1095">
          <cell r="E1095"/>
          <cell r="F1095"/>
          <cell r="I1095"/>
          <cell r="J1095"/>
          <cell r="K1095"/>
          <cell r="L1095"/>
        </row>
        <row r="1096">
          <cell r="E1096"/>
          <cell r="F1096"/>
          <cell r="I1096"/>
          <cell r="J1096"/>
          <cell r="K1096"/>
          <cell r="L1096"/>
        </row>
        <row r="1097">
          <cell r="E1097"/>
          <cell r="F1097"/>
          <cell r="I1097"/>
          <cell r="J1097"/>
          <cell r="K1097"/>
          <cell r="L1097"/>
        </row>
        <row r="1098">
          <cell r="E1098"/>
          <cell r="F1098"/>
          <cell r="I1098"/>
          <cell r="J1098"/>
          <cell r="K1098"/>
          <cell r="L1098"/>
        </row>
        <row r="1099">
          <cell r="E1099"/>
          <cell r="F1099"/>
          <cell r="I1099"/>
          <cell r="J1099"/>
          <cell r="K1099"/>
          <cell r="L1099"/>
        </row>
        <row r="1100">
          <cell r="E1100"/>
          <cell r="F1100"/>
          <cell r="I1100"/>
          <cell r="J1100"/>
          <cell r="K1100"/>
          <cell r="L1100"/>
        </row>
        <row r="1101">
          <cell r="E1101"/>
          <cell r="F1101"/>
          <cell r="I1101"/>
          <cell r="J1101"/>
          <cell r="K1101"/>
          <cell r="L1101"/>
        </row>
        <row r="1102">
          <cell r="E1102"/>
          <cell r="F1102"/>
          <cell r="I1102"/>
          <cell r="J1102"/>
          <cell r="K1102"/>
          <cell r="L1102"/>
        </row>
        <row r="1103">
          <cell r="E1103"/>
          <cell r="F1103"/>
          <cell r="I1103"/>
          <cell r="J1103"/>
          <cell r="K1103"/>
          <cell r="L1103"/>
        </row>
        <row r="1104">
          <cell r="E1104"/>
          <cell r="F1104"/>
          <cell r="I1104"/>
          <cell r="J1104"/>
          <cell r="K1104"/>
          <cell r="L1104"/>
        </row>
        <row r="1105">
          <cell r="E1105"/>
          <cell r="F1105"/>
          <cell r="I1105"/>
          <cell r="J1105"/>
          <cell r="K1105"/>
          <cell r="L1105"/>
        </row>
        <row r="1106">
          <cell r="E1106"/>
          <cell r="F1106"/>
          <cell r="I1106"/>
          <cell r="J1106"/>
          <cell r="K1106"/>
          <cell r="L1106"/>
        </row>
        <row r="1107">
          <cell r="E1107"/>
          <cell r="F1107"/>
          <cell r="I1107"/>
          <cell r="J1107"/>
          <cell r="K1107"/>
          <cell r="L1107"/>
        </row>
        <row r="1108">
          <cell r="E1108"/>
          <cell r="F1108"/>
          <cell r="I1108"/>
          <cell r="J1108"/>
          <cell r="K1108"/>
          <cell r="L1108"/>
        </row>
        <row r="1109">
          <cell r="E1109"/>
          <cell r="F1109"/>
          <cell r="I1109"/>
          <cell r="J1109"/>
          <cell r="K1109"/>
          <cell r="L1109"/>
        </row>
        <row r="1110">
          <cell r="E1110"/>
          <cell r="F1110"/>
          <cell r="I1110"/>
          <cell r="J1110"/>
          <cell r="K1110"/>
          <cell r="L1110"/>
        </row>
        <row r="1111">
          <cell r="E1111"/>
          <cell r="F1111"/>
          <cell r="I1111"/>
          <cell r="J1111"/>
          <cell r="K1111"/>
          <cell r="L1111"/>
        </row>
        <row r="1112">
          <cell r="E1112"/>
          <cell r="F1112"/>
          <cell r="I1112"/>
          <cell r="J1112"/>
          <cell r="K1112"/>
          <cell r="L1112"/>
        </row>
        <row r="1113">
          <cell r="E1113"/>
          <cell r="F1113"/>
          <cell r="I1113"/>
          <cell r="J1113"/>
          <cell r="K1113"/>
          <cell r="L1113"/>
        </row>
        <row r="1114">
          <cell r="E1114"/>
          <cell r="F1114"/>
          <cell r="I1114"/>
          <cell r="J1114"/>
          <cell r="K1114"/>
          <cell r="L1114"/>
        </row>
        <row r="1115">
          <cell r="E1115"/>
          <cell r="F1115"/>
          <cell r="I1115"/>
          <cell r="J1115"/>
          <cell r="K1115"/>
          <cell r="L1115"/>
        </row>
        <row r="1116">
          <cell r="E1116"/>
          <cell r="F1116"/>
          <cell r="I1116"/>
          <cell r="J1116"/>
          <cell r="K1116"/>
          <cell r="L1116"/>
        </row>
        <row r="1117">
          <cell r="E1117"/>
          <cell r="F1117"/>
          <cell r="I1117"/>
          <cell r="J1117"/>
          <cell r="K1117"/>
          <cell r="L1117"/>
        </row>
        <row r="1118">
          <cell r="E1118"/>
          <cell r="F1118"/>
          <cell r="I1118"/>
          <cell r="J1118"/>
          <cell r="K1118"/>
          <cell r="L1118"/>
        </row>
        <row r="1119">
          <cell r="E1119"/>
          <cell r="F1119"/>
          <cell r="I1119"/>
          <cell r="J1119"/>
          <cell r="K1119"/>
          <cell r="L1119"/>
        </row>
        <row r="1120">
          <cell r="E1120"/>
          <cell r="F1120"/>
          <cell r="I1120"/>
          <cell r="J1120"/>
          <cell r="K1120"/>
          <cell r="L1120"/>
        </row>
        <row r="1121">
          <cell r="E1121"/>
          <cell r="F1121"/>
          <cell r="I1121"/>
          <cell r="J1121"/>
          <cell r="K1121"/>
          <cell r="L1121"/>
        </row>
        <row r="1122">
          <cell r="E1122"/>
          <cell r="F1122"/>
          <cell r="I1122"/>
          <cell r="J1122"/>
          <cell r="K1122"/>
          <cell r="L1122"/>
        </row>
        <row r="1123">
          <cell r="E1123"/>
          <cell r="F1123"/>
          <cell r="I1123"/>
          <cell r="J1123"/>
          <cell r="K1123"/>
          <cell r="L1123"/>
        </row>
        <row r="1124">
          <cell r="E1124"/>
          <cell r="F1124"/>
          <cell r="I1124"/>
          <cell r="J1124"/>
          <cell r="K1124"/>
          <cell r="L1124"/>
        </row>
        <row r="1125">
          <cell r="E1125"/>
          <cell r="F1125"/>
          <cell r="I1125"/>
          <cell r="J1125"/>
          <cell r="K1125"/>
          <cell r="L1125"/>
        </row>
        <row r="1126">
          <cell r="E1126"/>
          <cell r="F1126"/>
          <cell r="I1126"/>
          <cell r="J1126"/>
          <cell r="K1126"/>
          <cell r="L1126"/>
        </row>
        <row r="1127">
          <cell r="E1127"/>
          <cell r="F1127"/>
          <cell r="I1127"/>
          <cell r="J1127"/>
          <cell r="K1127"/>
          <cell r="L1127"/>
        </row>
        <row r="1128">
          <cell r="E1128"/>
          <cell r="F1128"/>
          <cell r="I1128"/>
          <cell r="J1128"/>
          <cell r="K1128"/>
          <cell r="L1128"/>
        </row>
        <row r="1129">
          <cell r="E1129"/>
          <cell r="F1129"/>
          <cell r="I1129"/>
          <cell r="J1129"/>
          <cell r="K1129"/>
          <cell r="L1129"/>
        </row>
        <row r="1130">
          <cell r="E1130"/>
          <cell r="F1130"/>
          <cell r="I1130"/>
          <cell r="J1130"/>
          <cell r="K1130"/>
          <cell r="L1130"/>
        </row>
        <row r="1131">
          <cell r="E1131"/>
          <cell r="F1131"/>
          <cell r="I1131"/>
          <cell r="J1131"/>
          <cell r="K1131"/>
          <cell r="L1131"/>
        </row>
        <row r="1132">
          <cell r="E1132"/>
          <cell r="F1132"/>
          <cell r="I1132"/>
          <cell r="J1132"/>
          <cell r="K1132"/>
          <cell r="L1132"/>
        </row>
        <row r="1133">
          <cell r="E1133"/>
          <cell r="F1133"/>
          <cell r="I1133"/>
          <cell r="J1133"/>
          <cell r="K1133"/>
          <cell r="L1133"/>
        </row>
        <row r="1134">
          <cell r="E1134"/>
          <cell r="F1134"/>
          <cell r="I1134"/>
          <cell r="J1134"/>
          <cell r="K1134"/>
          <cell r="L1134"/>
        </row>
        <row r="1135">
          <cell r="E1135"/>
          <cell r="F1135"/>
          <cell r="I1135"/>
          <cell r="J1135"/>
          <cell r="K1135"/>
          <cell r="L1135"/>
        </row>
        <row r="1136">
          <cell r="E1136"/>
          <cell r="F1136"/>
          <cell r="I1136"/>
          <cell r="J1136"/>
          <cell r="K1136"/>
          <cell r="L1136"/>
        </row>
        <row r="1137">
          <cell r="E1137"/>
          <cell r="F1137"/>
          <cell r="I1137"/>
          <cell r="J1137"/>
          <cell r="K1137"/>
          <cell r="L1137"/>
        </row>
        <row r="1138">
          <cell r="E1138"/>
          <cell r="F1138"/>
          <cell r="I1138"/>
          <cell r="J1138"/>
          <cell r="K1138"/>
          <cell r="L1138"/>
        </row>
        <row r="1139">
          <cell r="E1139"/>
          <cell r="F1139"/>
          <cell r="I1139"/>
          <cell r="J1139"/>
          <cell r="K1139"/>
          <cell r="L1139"/>
        </row>
        <row r="1140">
          <cell r="E1140"/>
          <cell r="F1140"/>
          <cell r="I1140"/>
          <cell r="J1140"/>
          <cell r="K1140"/>
          <cell r="L1140"/>
        </row>
        <row r="1141">
          <cell r="E1141"/>
          <cell r="F1141"/>
          <cell r="I1141"/>
          <cell r="J1141"/>
          <cell r="K1141"/>
          <cell r="L1141"/>
        </row>
        <row r="1142">
          <cell r="E1142"/>
          <cell r="F1142"/>
          <cell r="I1142"/>
          <cell r="J1142"/>
          <cell r="K1142"/>
          <cell r="L1142"/>
        </row>
        <row r="1143">
          <cell r="E1143"/>
          <cell r="F1143"/>
          <cell r="I1143"/>
          <cell r="J1143"/>
          <cell r="K1143"/>
          <cell r="L1143"/>
        </row>
        <row r="1144">
          <cell r="E1144"/>
          <cell r="F1144"/>
          <cell r="I1144"/>
          <cell r="J1144"/>
          <cell r="K1144"/>
          <cell r="L1144"/>
        </row>
        <row r="1145">
          <cell r="E1145"/>
          <cell r="F1145"/>
          <cell r="I1145"/>
          <cell r="J1145"/>
          <cell r="K1145"/>
          <cell r="L1145"/>
        </row>
        <row r="1146">
          <cell r="E1146"/>
          <cell r="F1146"/>
          <cell r="I1146"/>
          <cell r="J1146"/>
          <cell r="K1146"/>
          <cell r="L1146"/>
        </row>
        <row r="1147">
          <cell r="E1147"/>
          <cell r="F1147"/>
          <cell r="I1147"/>
          <cell r="J1147"/>
          <cell r="K1147"/>
          <cell r="L1147"/>
        </row>
        <row r="1148">
          <cell r="E1148"/>
          <cell r="F1148"/>
          <cell r="I1148"/>
          <cell r="J1148"/>
          <cell r="K1148"/>
          <cell r="L1148"/>
        </row>
        <row r="1149">
          <cell r="E1149"/>
          <cell r="F1149"/>
          <cell r="I1149"/>
          <cell r="J1149"/>
          <cell r="K1149"/>
          <cell r="L1149"/>
        </row>
        <row r="1150">
          <cell r="E1150"/>
          <cell r="F1150"/>
          <cell r="I1150"/>
          <cell r="J1150"/>
          <cell r="K1150"/>
          <cell r="L1150"/>
        </row>
        <row r="1151">
          <cell r="E1151"/>
          <cell r="F1151"/>
          <cell r="I1151"/>
          <cell r="J1151"/>
          <cell r="K1151"/>
          <cell r="L1151"/>
        </row>
        <row r="1152">
          <cell r="E1152"/>
          <cell r="F1152"/>
          <cell r="I1152"/>
          <cell r="J1152"/>
          <cell r="K1152"/>
          <cell r="L1152"/>
        </row>
        <row r="1153">
          <cell r="E1153"/>
          <cell r="F1153"/>
          <cell r="I1153"/>
          <cell r="J1153"/>
          <cell r="K1153"/>
          <cell r="L1153"/>
        </row>
        <row r="1154">
          <cell r="E1154"/>
          <cell r="F1154"/>
          <cell r="I1154"/>
          <cell r="J1154"/>
          <cell r="K1154"/>
          <cell r="L1154"/>
        </row>
        <row r="1155">
          <cell r="E1155"/>
          <cell r="F1155"/>
          <cell r="I1155"/>
          <cell r="J1155"/>
          <cell r="K1155"/>
          <cell r="L1155"/>
        </row>
        <row r="1156">
          <cell r="E1156"/>
          <cell r="F1156"/>
          <cell r="I1156"/>
          <cell r="J1156"/>
          <cell r="K1156"/>
          <cell r="L1156"/>
        </row>
        <row r="1157">
          <cell r="E1157"/>
          <cell r="F1157"/>
          <cell r="I1157"/>
          <cell r="J1157"/>
          <cell r="K1157"/>
          <cell r="L1157"/>
        </row>
        <row r="1158">
          <cell r="E1158"/>
          <cell r="F1158"/>
          <cell r="I1158"/>
          <cell r="J1158"/>
          <cell r="K1158"/>
          <cell r="L1158"/>
        </row>
        <row r="1159">
          <cell r="E1159"/>
          <cell r="F1159"/>
          <cell r="I1159"/>
          <cell r="J1159"/>
          <cell r="K1159"/>
          <cell r="L1159"/>
        </row>
        <row r="1160">
          <cell r="E1160"/>
          <cell r="F1160"/>
          <cell r="I1160"/>
          <cell r="J1160"/>
          <cell r="K1160"/>
          <cell r="L1160"/>
        </row>
        <row r="1161">
          <cell r="E1161"/>
          <cell r="F1161"/>
          <cell r="I1161"/>
          <cell r="J1161"/>
          <cell r="K1161"/>
          <cell r="L1161"/>
        </row>
        <row r="1162">
          <cell r="E1162"/>
          <cell r="F1162"/>
          <cell r="I1162"/>
          <cell r="J1162"/>
          <cell r="K1162"/>
          <cell r="L1162"/>
        </row>
        <row r="1163">
          <cell r="E1163"/>
          <cell r="F1163"/>
          <cell r="I1163"/>
          <cell r="J1163"/>
          <cell r="K1163"/>
          <cell r="L1163"/>
        </row>
        <row r="1164">
          <cell r="E1164"/>
          <cell r="F1164"/>
          <cell r="I1164"/>
          <cell r="J1164"/>
          <cell r="K1164"/>
          <cell r="L1164"/>
        </row>
        <row r="1165">
          <cell r="E1165"/>
          <cell r="F1165"/>
          <cell r="I1165"/>
          <cell r="J1165"/>
          <cell r="K1165"/>
          <cell r="L1165"/>
        </row>
        <row r="1166">
          <cell r="E1166"/>
          <cell r="F1166"/>
          <cell r="I1166"/>
          <cell r="J1166"/>
          <cell r="K1166"/>
          <cell r="L1166"/>
        </row>
        <row r="1167">
          <cell r="E1167"/>
          <cell r="F1167"/>
          <cell r="I1167"/>
          <cell r="J1167"/>
          <cell r="K1167"/>
          <cell r="L1167"/>
        </row>
        <row r="1168">
          <cell r="E1168"/>
          <cell r="F1168"/>
          <cell r="I1168"/>
          <cell r="J1168"/>
          <cell r="K1168"/>
          <cell r="L1168"/>
        </row>
        <row r="1169">
          <cell r="E1169"/>
          <cell r="F1169"/>
          <cell r="I1169"/>
          <cell r="J1169"/>
          <cell r="K1169"/>
          <cell r="L1169"/>
        </row>
        <row r="1170">
          <cell r="E1170"/>
          <cell r="F1170"/>
          <cell r="I1170"/>
          <cell r="J1170"/>
          <cell r="K1170"/>
          <cell r="L1170"/>
        </row>
        <row r="1171">
          <cell r="E1171"/>
          <cell r="F1171"/>
          <cell r="I1171"/>
          <cell r="J1171"/>
          <cell r="K1171"/>
          <cell r="L1171"/>
        </row>
        <row r="1172">
          <cell r="E1172"/>
          <cell r="F1172"/>
          <cell r="I1172"/>
          <cell r="J1172"/>
          <cell r="K1172"/>
          <cell r="L1172"/>
        </row>
        <row r="1173">
          <cell r="E1173"/>
          <cell r="F1173"/>
          <cell r="I1173"/>
          <cell r="J1173"/>
          <cell r="K1173"/>
          <cell r="L1173"/>
        </row>
        <row r="1174">
          <cell r="E1174"/>
          <cell r="F1174"/>
          <cell r="I1174"/>
          <cell r="J1174"/>
          <cell r="K1174"/>
          <cell r="L1174"/>
        </row>
        <row r="1175">
          <cell r="E1175"/>
          <cell r="F1175"/>
          <cell r="I1175"/>
          <cell r="J1175"/>
          <cell r="K1175"/>
          <cell r="L1175"/>
        </row>
        <row r="1176">
          <cell r="E1176"/>
          <cell r="F1176"/>
          <cell r="I1176"/>
          <cell r="J1176"/>
          <cell r="K1176"/>
          <cell r="L1176"/>
        </row>
        <row r="1177">
          <cell r="E1177"/>
          <cell r="F1177"/>
          <cell r="I1177"/>
          <cell r="J1177"/>
          <cell r="K1177"/>
          <cell r="L1177"/>
        </row>
        <row r="1178">
          <cell r="E1178"/>
          <cell r="F1178"/>
          <cell r="I1178"/>
          <cell r="J1178"/>
          <cell r="K1178"/>
          <cell r="L1178"/>
        </row>
        <row r="1179">
          <cell r="E1179"/>
          <cell r="F1179"/>
          <cell r="I1179"/>
          <cell r="J1179"/>
          <cell r="K1179"/>
          <cell r="L1179"/>
        </row>
        <row r="1180">
          <cell r="E1180"/>
          <cell r="F1180"/>
          <cell r="I1180"/>
          <cell r="J1180"/>
          <cell r="K1180"/>
          <cell r="L1180"/>
        </row>
        <row r="1181">
          <cell r="E1181"/>
          <cell r="F1181"/>
          <cell r="I1181"/>
          <cell r="J1181"/>
          <cell r="K1181"/>
          <cell r="L1181"/>
        </row>
        <row r="1182">
          <cell r="E1182"/>
          <cell r="F1182"/>
          <cell r="I1182"/>
          <cell r="J1182"/>
          <cell r="K1182"/>
          <cell r="L1182"/>
        </row>
        <row r="1183">
          <cell r="E1183"/>
          <cell r="F1183"/>
          <cell r="I1183"/>
          <cell r="J1183"/>
          <cell r="K1183"/>
          <cell r="L1183"/>
        </row>
        <row r="1184">
          <cell r="E1184"/>
          <cell r="F1184"/>
          <cell r="I1184"/>
          <cell r="J1184"/>
          <cell r="K1184"/>
          <cell r="L1184"/>
        </row>
        <row r="1185">
          <cell r="E1185"/>
          <cell r="F1185"/>
          <cell r="I1185"/>
          <cell r="J1185"/>
          <cell r="K1185"/>
          <cell r="L1185"/>
        </row>
        <row r="1186">
          <cell r="E1186"/>
          <cell r="F1186"/>
          <cell r="I1186"/>
          <cell r="J1186"/>
          <cell r="K1186"/>
          <cell r="L1186"/>
        </row>
        <row r="1187">
          <cell r="E1187"/>
          <cell r="F1187"/>
          <cell r="I1187"/>
          <cell r="J1187"/>
          <cell r="K1187"/>
          <cell r="L1187"/>
        </row>
        <row r="1188">
          <cell r="E1188"/>
          <cell r="F1188"/>
          <cell r="I1188"/>
          <cell r="J1188"/>
          <cell r="K1188"/>
          <cell r="L1188"/>
        </row>
        <row r="1189">
          <cell r="E1189"/>
          <cell r="F1189"/>
          <cell r="I1189"/>
          <cell r="J1189"/>
          <cell r="K1189"/>
          <cell r="L1189"/>
        </row>
        <row r="1190">
          <cell r="E1190"/>
          <cell r="F1190"/>
          <cell r="I1190"/>
          <cell r="J1190"/>
          <cell r="K1190"/>
          <cell r="L1190"/>
        </row>
        <row r="1191">
          <cell r="E1191"/>
          <cell r="F1191"/>
          <cell r="I1191"/>
          <cell r="J1191"/>
          <cell r="K1191"/>
          <cell r="L1191"/>
        </row>
        <row r="1192">
          <cell r="E1192"/>
          <cell r="F1192"/>
          <cell r="I1192"/>
          <cell r="J1192"/>
          <cell r="K1192"/>
          <cell r="L1192"/>
        </row>
        <row r="1193">
          <cell r="E1193"/>
          <cell r="F1193"/>
          <cell r="I1193"/>
          <cell r="J1193"/>
          <cell r="K1193"/>
          <cell r="L1193"/>
        </row>
        <row r="1194">
          <cell r="E1194"/>
          <cell r="F1194"/>
          <cell r="I1194"/>
          <cell r="J1194"/>
          <cell r="K1194"/>
          <cell r="L1194"/>
        </row>
        <row r="1195">
          <cell r="E1195"/>
          <cell r="F1195"/>
          <cell r="I1195"/>
          <cell r="J1195"/>
          <cell r="K1195"/>
          <cell r="L1195"/>
        </row>
        <row r="1196">
          <cell r="E1196"/>
          <cell r="F1196"/>
          <cell r="I1196"/>
          <cell r="J1196"/>
          <cell r="K1196"/>
          <cell r="L1196"/>
        </row>
        <row r="1197">
          <cell r="E1197"/>
          <cell r="F1197"/>
          <cell r="I1197"/>
          <cell r="J1197"/>
          <cell r="K1197"/>
          <cell r="L1197"/>
        </row>
        <row r="1198">
          <cell r="E1198"/>
          <cell r="F1198"/>
          <cell r="I1198"/>
          <cell r="J1198"/>
          <cell r="K1198"/>
          <cell r="L1198"/>
        </row>
        <row r="1199">
          <cell r="E1199"/>
          <cell r="F1199"/>
          <cell r="I1199"/>
          <cell r="J1199"/>
          <cell r="K1199"/>
          <cell r="L1199"/>
        </row>
        <row r="1200">
          <cell r="E1200"/>
          <cell r="F1200"/>
          <cell r="I1200"/>
          <cell r="J1200"/>
          <cell r="K1200"/>
          <cell r="L1200"/>
        </row>
        <row r="1201">
          <cell r="E1201"/>
          <cell r="F1201"/>
          <cell r="I1201"/>
          <cell r="J1201"/>
          <cell r="K1201"/>
          <cell r="L1201"/>
        </row>
        <row r="1202">
          <cell r="E1202"/>
          <cell r="F1202"/>
          <cell r="I1202"/>
          <cell r="J1202"/>
          <cell r="K1202"/>
          <cell r="L1202"/>
        </row>
        <row r="1203">
          <cell r="E1203"/>
          <cell r="F1203"/>
          <cell r="I1203"/>
          <cell r="J1203"/>
          <cell r="K1203"/>
          <cell r="L1203"/>
        </row>
        <row r="1204">
          <cell r="E1204"/>
          <cell r="F1204"/>
          <cell r="I1204"/>
          <cell r="J1204"/>
          <cell r="K1204"/>
          <cell r="L1204"/>
        </row>
        <row r="1205">
          <cell r="E1205"/>
          <cell r="F1205"/>
          <cell r="I1205"/>
          <cell r="J1205"/>
          <cell r="K1205"/>
          <cell r="L1205"/>
        </row>
        <row r="1206">
          <cell r="E1206"/>
          <cell r="F1206"/>
          <cell r="I1206"/>
          <cell r="J1206"/>
          <cell r="K1206"/>
          <cell r="L1206"/>
        </row>
        <row r="1207">
          <cell r="E1207"/>
          <cell r="F1207"/>
          <cell r="I1207"/>
          <cell r="J1207"/>
          <cell r="K1207"/>
          <cell r="L1207"/>
        </row>
        <row r="1208">
          <cell r="E1208"/>
          <cell r="F1208"/>
          <cell r="I1208"/>
          <cell r="J1208"/>
          <cell r="K1208"/>
          <cell r="L1208"/>
        </row>
        <row r="1209">
          <cell r="E1209"/>
          <cell r="F1209"/>
          <cell r="I1209"/>
          <cell r="J1209"/>
          <cell r="K1209"/>
          <cell r="L1209"/>
        </row>
        <row r="1210">
          <cell r="E1210"/>
          <cell r="F1210"/>
          <cell r="I1210"/>
          <cell r="J1210"/>
          <cell r="K1210"/>
          <cell r="L1210"/>
        </row>
        <row r="1211">
          <cell r="E1211"/>
          <cell r="F1211"/>
          <cell r="I1211"/>
          <cell r="J1211"/>
          <cell r="K1211"/>
          <cell r="L1211"/>
        </row>
        <row r="1212">
          <cell r="E1212"/>
          <cell r="F1212"/>
          <cell r="I1212"/>
          <cell r="J1212"/>
          <cell r="K1212"/>
          <cell r="L1212"/>
        </row>
        <row r="1213">
          <cell r="E1213"/>
          <cell r="F1213"/>
          <cell r="I1213"/>
          <cell r="J1213"/>
          <cell r="K1213"/>
          <cell r="L1213"/>
        </row>
        <row r="1214">
          <cell r="E1214"/>
          <cell r="F1214"/>
          <cell r="I1214"/>
          <cell r="J1214"/>
          <cell r="K1214"/>
          <cell r="L1214"/>
        </row>
        <row r="1215">
          <cell r="E1215"/>
          <cell r="F1215"/>
          <cell r="I1215"/>
          <cell r="J1215"/>
          <cell r="K1215"/>
          <cell r="L1215"/>
        </row>
        <row r="1216">
          <cell r="E1216"/>
          <cell r="F1216"/>
          <cell r="I1216"/>
          <cell r="J1216"/>
          <cell r="K1216"/>
          <cell r="L1216"/>
        </row>
        <row r="1217">
          <cell r="E1217"/>
          <cell r="F1217"/>
          <cell r="I1217"/>
          <cell r="J1217"/>
          <cell r="K1217"/>
          <cell r="L1217"/>
        </row>
        <row r="1218">
          <cell r="E1218"/>
          <cell r="F1218"/>
          <cell r="I1218"/>
          <cell r="J1218"/>
          <cell r="K1218"/>
          <cell r="L1218"/>
        </row>
        <row r="1219">
          <cell r="E1219"/>
          <cell r="F1219"/>
          <cell r="I1219"/>
          <cell r="J1219"/>
          <cell r="K1219"/>
          <cell r="L1219"/>
        </row>
        <row r="1220">
          <cell r="E1220"/>
          <cell r="F1220"/>
          <cell r="I1220"/>
          <cell r="J1220"/>
          <cell r="K1220"/>
          <cell r="L1220"/>
        </row>
        <row r="1221">
          <cell r="E1221"/>
          <cell r="F1221"/>
          <cell r="I1221"/>
          <cell r="J1221"/>
          <cell r="K1221"/>
          <cell r="L1221"/>
        </row>
        <row r="1222">
          <cell r="E1222"/>
          <cell r="F1222"/>
          <cell r="I1222"/>
          <cell r="J1222"/>
          <cell r="K1222"/>
          <cell r="L1222"/>
        </row>
        <row r="1223">
          <cell r="E1223"/>
          <cell r="F1223"/>
          <cell r="I1223"/>
          <cell r="J1223"/>
          <cell r="K1223"/>
          <cell r="L1223"/>
        </row>
        <row r="1224">
          <cell r="E1224"/>
          <cell r="F1224"/>
          <cell r="I1224"/>
          <cell r="J1224"/>
          <cell r="K1224"/>
          <cell r="L1224"/>
        </row>
        <row r="1225">
          <cell r="E1225"/>
          <cell r="F1225"/>
          <cell r="I1225"/>
          <cell r="J1225"/>
          <cell r="K1225"/>
          <cell r="L1225"/>
        </row>
        <row r="1226">
          <cell r="E1226"/>
          <cell r="F1226"/>
          <cell r="I1226"/>
          <cell r="J1226"/>
          <cell r="K1226"/>
          <cell r="L1226"/>
        </row>
        <row r="1227">
          <cell r="E1227"/>
          <cell r="F1227"/>
          <cell r="I1227"/>
          <cell r="J1227"/>
          <cell r="K1227"/>
          <cell r="L1227"/>
        </row>
        <row r="1228">
          <cell r="E1228"/>
          <cell r="F1228"/>
          <cell r="I1228"/>
          <cell r="J1228"/>
          <cell r="K1228"/>
          <cell r="L1228"/>
        </row>
        <row r="1229">
          <cell r="E1229"/>
          <cell r="F1229"/>
          <cell r="I1229"/>
          <cell r="J1229"/>
          <cell r="K1229"/>
          <cell r="L1229"/>
        </row>
        <row r="1230">
          <cell r="E1230"/>
          <cell r="F1230"/>
          <cell r="I1230"/>
          <cell r="J1230"/>
          <cell r="K1230"/>
          <cell r="L1230"/>
        </row>
        <row r="1231">
          <cell r="E1231"/>
          <cell r="F1231"/>
          <cell r="I1231"/>
          <cell r="J1231"/>
          <cell r="K1231"/>
          <cell r="L1231"/>
        </row>
        <row r="1232">
          <cell r="E1232"/>
          <cell r="F1232"/>
          <cell r="I1232"/>
          <cell r="J1232"/>
          <cell r="K1232"/>
          <cell r="L1232"/>
        </row>
        <row r="1233">
          <cell r="E1233"/>
          <cell r="F1233"/>
          <cell r="I1233"/>
          <cell r="J1233"/>
          <cell r="K1233"/>
          <cell r="L1233"/>
        </row>
        <row r="1234">
          <cell r="E1234"/>
          <cell r="F1234"/>
          <cell r="I1234"/>
          <cell r="J1234"/>
          <cell r="K1234"/>
          <cell r="L1234"/>
        </row>
        <row r="1235">
          <cell r="E1235"/>
          <cell r="F1235"/>
          <cell r="I1235"/>
          <cell r="J1235"/>
          <cell r="K1235"/>
          <cell r="L1235"/>
        </row>
        <row r="1236">
          <cell r="E1236"/>
          <cell r="F1236"/>
          <cell r="I1236"/>
          <cell r="J1236"/>
          <cell r="K1236"/>
          <cell r="L1236"/>
        </row>
        <row r="1237">
          <cell r="E1237"/>
          <cell r="F1237"/>
          <cell r="I1237"/>
          <cell r="J1237"/>
          <cell r="K1237"/>
          <cell r="L1237"/>
        </row>
        <row r="1238">
          <cell r="E1238"/>
          <cell r="F1238"/>
          <cell r="I1238"/>
          <cell r="J1238"/>
          <cell r="K1238"/>
          <cell r="L1238"/>
        </row>
        <row r="1239">
          <cell r="E1239"/>
          <cell r="F1239"/>
          <cell r="I1239"/>
          <cell r="J1239"/>
          <cell r="K1239"/>
          <cell r="L1239"/>
        </row>
        <row r="1240">
          <cell r="E1240"/>
          <cell r="F1240"/>
          <cell r="I1240"/>
          <cell r="J1240"/>
          <cell r="K1240"/>
          <cell r="L1240"/>
        </row>
        <row r="1241">
          <cell r="E1241"/>
          <cell r="F1241"/>
          <cell r="I1241"/>
          <cell r="J1241"/>
          <cell r="K1241"/>
          <cell r="L1241"/>
        </row>
        <row r="1242">
          <cell r="E1242"/>
          <cell r="F1242"/>
          <cell r="I1242"/>
          <cell r="J1242"/>
          <cell r="K1242"/>
          <cell r="L1242"/>
        </row>
        <row r="1243">
          <cell r="E1243"/>
          <cell r="F1243"/>
          <cell r="I1243"/>
          <cell r="J1243"/>
          <cell r="K1243"/>
          <cell r="L1243"/>
        </row>
        <row r="1244">
          <cell r="E1244"/>
          <cell r="F1244"/>
          <cell r="I1244"/>
          <cell r="J1244"/>
          <cell r="K1244"/>
          <cell r="L1244"/>
        </row>
        <row r="1245">
          <cell r="E1245"/>
          <cell r="F1245"/>
          <cell r="I1245"/>
          <cell r="J1245"/>
          <cell r="K1245"/>
          <cell r="L1245"/>
        </row>
        <row r="1246">
          <cell r="E1246"/>
          <cell r="F1246"/>
          <cell r="I1246"/>
          <cell r="J1246"/>
          <cell r="K1246"/>
          <cell r="L1246"/>
        </row>
        <row r="1247">
          <cell r="E1247"/>
          <cell r="F1247"/>
          <cell r="I1247"/>
          <cell r="J1247"/>
          <cell r="K1247"/>
          <cell r="L1247"/>
        </row>
        <row r="1248">
          <cell r="E1248"/>
          <cell r="F1248"/>
          <cell r="I1248"/>
          <cell r="J1248"/>
          <cell r="K1248"/>
          <cell r="L1248"/>
        </row>
        <row r="1249">
          <cell r="E1249"/>
          <cell r="F1249"/>
          <cell r="I1249"/>
          <cell r="J1249"/>
          <cell r="K1249"/>
          <cell r="L1249"/>
        </row>
        <row r="1250">
          <cell r="E1250"/>
          <cell r="F1250"/>
          <cell r="I1250"/>
          <cell r="J1250"/>
          <cell r="K1250"/>
          <cell r="L1250"/>
        </row>
        <row r="1251">
          <cell r="E1251"/>
          <cell r="F1251"/>
          <cell r="I1251"/>
          <cell r="J1251"/>
          <cell r="K1251"/>
          <cell r="L1251"/>
        </row>
        <row r="1252">
          <cell r="E1252"/>
          <cell r="F1252"/>
          <cell r="I1252"/>
          <cell r="J1252"/>
          <cell r="K1252"/>
          <cell r="L1252"/>
        </row>
        <row r="1253">
          <cell r="E1253"/>
          <cell r="F1253"/>
          <cell r="I1253"/>
          <cell r="J1253"/>
          <cell r="K1253"/>
          <cell r="L1253"/>
        </row>
        <row r="1254">
          <cell r="E1254"/>
          <cell r="F1254"/>
          <cell r="I1254"/>
          <cell r="J1254"/>
          <cell r="K1254"/>
          <cell r="L1254"/>
        </row>
        <row r="1255">
          <cell r="E1255"/>
          <cell r="F1255"/>
          <cell r="I1255"/>
          <cell r="J1255"/>
          <cell r="K1255"/>
          <cell r="L1255"/>
        </row>
        <row r="1256">
          <cell r="E1256"/>
          <cell r="F1256"/>
          <cell r="I1256"/>
          <cell r="J1256"/>
          <cell r="K1256"/>
          <cell r="L1256"/>
        </row>
        <row r="1257">
          <cell r="E1257"/>
          <cell r="F1257"/>
          <cell r="I1257"/>
          <cell r="J1257"/>
          <cell r="K1257"/>
          <cell r="L1257"/>
        </row>
        <row r="1258">
          <cell r="E1258"/>
          <cell r="F1258"/>
          <cell r="I1258"/>
          <cell r="J1258"/>
          <cell r="K1258"/>
          <cell r="L1258"/>
        </row>
        <row r="1259">
          <cell r="E1259"/>
          <cell r="F1259"/>
          <cell r="I1259"/>
          <cell r="J1259"/>
          <cell r="K1259"/>
          <cell r="L1259"/>
        </row>
        <row r="1260">
          <cell r="E1260"/>
          <cell r="F1260"/>
          <cell r="I1260"/>
          <cell r="J1260"/>
          <cell r="K1260"/>
          <cell r="L1260"/>
        </row>
        <row r="1261">
          <cell r="E1261"/>
          <cell r="F1261"/>
          <cell r="I1261"/>
          <cell r="J1261"/>
          <cell r="K1261"/>
          <cell r="L1261"/>
        </row>
        <row r="1262">
          <cell r="E1262"/>
          <cell r="F1262"/>
          <cell r="I1262"/>
          <cell r="J1262"/>
          <cell r="K1262"/>
          <cell r="L1262"/>
        </row>
        <row r="1263">
          <cell r="E1263"/>
          <cell r="F1263"/>
          <cell r="I1263"/>
          <cell r="J1263"/>
          <cell r="K1263"/>
          <cell r="L1263"/>
        </row>
        <row r="1264">
          <cell r="E1264"/>
          <cell r="F1264"/>
          <cell r="I1264"/>
          <cell r="J1264"/>
          <cell r="K1264"/>
          <cell r="L1264"/>
        </row>
        <row r="1265">
          <cell r="E1265"/>
          <cell r="F1265"/>
          <cell r="I1265"/>
          <cell r="J1265"/>
          <cell r="K1265"/>
          <cell r="L1265"/>
        </row>
        <row r="1266">
          <cell r="E1266"/>
          <cell r="F1266"/>
          <cell r="I1266"/>
          <cell r="J1266"/>
          <cell r="K1266"/>
          <cell r="L1266"/>
        </row>
        <row r="1267">
          <cell r="E1267"/>
          <cell r="F1267"/>
          <cell r="I1267"/>
          <cell r="J1267"/>
          <cell r="K1267"/>
          <cell r="L1267"/>
        </row>
        <row r="1268">
          <cell r="E1268"/>
          <cell r="F1268"/>
          <cell r="I1268"/>
          <cell r="J1268"/>
          <cell r="K1268"/>
          <cell r="L1268"/>
        </row>
        <row r="1269">
          <cell r="E1269"/>
          <cell r="F1269"/>
          <cell r="I1269"/>
          <cell r="J1269"/>
          <cell r="K1269"/>
          <cell r="L1269"/>
        </row>
        <row r="1270">
          <cell r="E1270"/>
          <cell r="F1270"/>
          <cell r="I1270"/>
          <cell r="J1270"/>
          <cell r="K1270"/>
          <cell r="L1270"/>
        </row>
        <row r="1271">
          <cell r="E1271"/>
          <cell r="F1271"/>
          <cell r="I1271"/>
          <cell r="J1271"/>
          <cell r="K1271"/>
          <cell r="L1271"/>
        </row>
        <row r="1272">
          <cell r="E1272"/>
          <cell r="F1272"/>
          <cell r="I1272"/>
          <cell r="J1272"/>
          <cell r="K1272"/>
          <cell r="L1272"/>
        </row>
        <row r="1273">
          <cell r="E1273"/>
          <cell r="F1273"/>
          <cell r="I1273"/>
          <cell r="J1273"/>
          <cell r="K1273"/>
          <cell r="L1273"/>
        </row>
        <row r="1274">
          <cell r="E1274"/>
          <cell r="F1274"/>
          <cell r="I1274"/>
          <cell r="J1274"/>
          <cell r="K1274"/>
          <cell r="L1274"/>
        </row>
        <row r="1275">
          <cell r="E1275"/>
          <cell r="F1275"/>
          <cell r="I1275"/>
          <cell r="J1275"/>
          <cell r="K1275"/>
          <cell r="L1275"/>
        </row>
        <row r="1276">
          <cell r="E1276"/>
          <cell r="F1276"/>
          <cell r="I1276"/>
          <cell r="J1276"/>
          <cell r="K1276"/>
          <cell r="L1276"/>
        </row>
        <row r="1277">
          <cell r="E1277"/>
          <cell r="F1277"/>
          <cell r="I1277"/>
          <cell r="J1277"/>
          <cell r="K1277"/>
          <cell r="L1277"/>
        </row>
        <row r="1278">
          <cell r="E1278"/>
          <cell r="F1278"/>
          <cell r="I1278"/>
          <cell r="J1278"/>
          <cell r="K1278"/>
          <cell r="L1278"/>
        </row>
        <row r="1279">
          <cell r="E1279"/>
          <cell r="F1279"/>
          <cell r="I1279"/>
          <cell r="J1279"/>
          <cell r="K1279"/>
          <cell r="L1279"/>
        </row>
        <row r="1280">
          <cell r="E1280"/>
          <cell r="F1280"/>
          <cell r="I1280"/>
          <cell r="J1280"/>
          <cell r="K1280"/>
          <cell r="L1280"/>
        </row>
        <row r="1281">
          <cell r="E1281"/>
          <cell r="F1281"/>
          <cell r="I1281"/>
          <cell r="J1281"/>
          <cell r="K1281"/>
          <cell r="L1281"/>
        </row>
        <row r="1282">
          <cell r="E1282"/>
          <cell r="F1282"/>
          <cell r="I1282"/>
          <cell r="J1282"/>
          <cell r="K1282"/>
          <cell r="L1282"/>
        </row>
        <row r="1283">
          <cell r="E1283"/>
          <cell r="F1283"/>
          <cell r="I1283"/>
          <cell r="J1283"/>
          <cell r="K1283"/>
          <cell r="L1283"/>
        </row>
        <row r="1284">
          <cell r="E1284"/>
          <cell r="F1284"/>
          <cell r="I1284"/>
          <cell r="J1284"/>
          <cell r="K1284"/>
          <cell r="L1284"/>
        </row>
        <row r="1285">
          <cell r="E1285"/>
          <cell r="F1285"/>
          <cell r="I1285"/>
          <cell r="J1285"/>
          <cell r="K1285"/>
          <cell r="L1285"/>
        </row>
        <row r="1286">
          <cell r="E1286"/>
          <cell r="F1286"/>
          <cell r="I1286"/>
          <cell r="J1286"/>
          <cell r="K1286"/>
          <cell r="L1286"/>
        </row>
        <row r="1287">
          <cell r="E1287"/>
          <cell r="F1287"/>
          <cell r="I1287"/>
          <cell r="J1287"/>
          <cell r="K1287"/>
          <cell r="L1287"/>
        </row>
        <row r="1288">
          <cell r="E1288"/>
          <cell r="F1288"/>
          <cell r="I1288"/>
          <cell r="J1288"/>
          <cell r="K1288"/>
          <cell r="L1288"/>
        </row>
        <row r="1289">
          <cell r="E1289"/>
          <cell r="F1289"/>
          <cell r="I1289"/>
          <cell r="J1289"/>
          <cell r="K1289"/>
          <cell r="L1289"/>
        </row>
        <row r="1290">
          <cell r="E1290"/>
          <cell r="F1290"/>
          <cell r="I1290"/>
          <cell r="J1290"/>
          <cell r="K1290"/>
          <cell r="L1290"/>
        </row>
        <row r="1291">
          <cell r="E1291"/>
          <cell r="F1291"/>
          <cell r="I1291"/>
          <cell r="J1291"/>
          <cell r="K1291"/>
          <cell r="L1291"/>
        </row>
        <row r="1292">
          <cell r="E1292"/>
          <cell r="F1292"/>
          <cell r="I1292"/>
          <cell r="J1292"/>
          <cell r="K1292"/>
          <cell r="L1292"/>
        </row>
        <row r="1293">
          <cell r="E1293"/>
          <cell r="F1293"/>
          <cell r="I1293"/>
          <cell r="J1293"/>
          <cell r="K1293"/>
          <cell r="L1293"/>
        </row>
        <row r="1294">
          <cell r="E1294"/>
          <cell r="F1294"/>
          <cell r="I1294"/>
          <cell r="J1294"/>
          <cell r="K1294"/>
          <cell r="L1294"/>
        </row>
        <row r="1295">
          <cell r="E1295"/>
          <cell r="F1295"/>
          <cell r="I1295"/>
          <cell r="J1295"/>
          <cell r="K1295"/>
          <cell r="L1295"/>
        </row>
        <row r="1296">
          <cell r="E1296"/>
          <cell r="F1296"/>
          <cell r="I1296"/>
          <cell r="J1296"/>
          <cell r="K1296"/>
          <cell r="L1296"/>
        </row>
        <row r="1297">
          <cell r="E1297"/>
          <cell r="F1297"/>
          <cell r="I1297"/>
          <cell r="J1297"/>
          <cell r="K1297"/>
          <cell r="L1297"/>
        </row>
        <row r="1298">
          <cell r="E1298"/>
          <cell r="F1298"/>
          <cell r="I1298"/>
          <cell r="J1298"/>
          <cell r="K1298"/>
          <cell r="L1298"/>
        </row>
        <row r="1299">
          <cell r="E1299"/>
          <cell r="F1299"/>
          <cell r="I1299"/>
          <cell r="J1299"/>
          <cell r="K1299"/>
          <cell r="L1299"/>
        </row>
        <row r="1300">
          <cell r="E1300"/>
          <cell r="F1300"/>
          <cell r="I1300"/>
          <cell r="J1300"/>
          <cell r="K1300"/>
          <cell r="L1300"/>
        </row>
        <row r="1301">
          <cell r="E1301"/>
          <cell r="F1301"/>
          <cell r="I1301"/>
          <cell r="J1301"/>
          <cell r="K1301"/>
          <cell r="L1301"/>
        </row>
        <row r="1302">
          <cell r="E1302"/>
          <cell r="F1302"/>
          <cell r="I1302"/>
          <cell r="J1302"/>
          <cell r="K1302"/>
          <cell r="L1302"/>
        </row>
        <row r="1303">
          <cell r="E1303"/>
          <cell r="F1303"/>
          <cell r="I1303"/>
          <cell r="J1303"/>
          <cell r="K1303"/>
          <cell r="L1303"/>
        </row>
        <row r="1304">
          <cell r="E1304"/>
          <cell r="F1304"/>
          <cell r="I1304"/>
          <cell r="J1304"/>
          <cell r="K1304"/>
          <cell r="L1304"/>
        </row>
        <row r="1305">
          <cell r="E1305"/>
          <cell r="F1305"/>
          <cell r="I1305"/>
          <cell r="J1305"/>
          <cell r="K1305"/>
          <cell r="L1305"/>
        </row>
        <row r="1306">
          <cell r="E1306"/>
          <cell r="F1306"/>
          <cell r="I1306"/>
          <cell r="J1306"/>
          <cell r="K1306"/>
          <cell r="L1306"/>
        </row>
        <row r="1307">
          <cell r="E1307"/>
          <cell r="F1307"/>
          <cell r="I1307"/>
          <cell r="J1307"/>
          <cell r="K1307"/>
          <cell r="L1307"/>
        </row>
        <row r="1308">
          <cell r="E1308"/>
          <cell r="F1308"/>
          <cell r="I1308"/>
          <cell r="J1308"/>
          <cell r="K1308"/>
          <cell r="L1308"/>
        </row>
        <row r="1309">
          <cell r="E1309"/>
          <cell r="F1309"/>
          <cell r="I1309"/>
          <cell r="J1309"/>
          <cell r="K1309"/>
          <cell r="L1309"/>
        </row>
        <row r="1310">
          <cell r="E1310"/>
          <cell r="F1310"/>
          <cell r="I1310"/>
          <cell r="J1310"/>
          <cell r="K1310"/>
          <cell r="L1310"/>
        </row>
        <row r="1311">
          <cell r="E1311"/>
          <cell r="F1311"/>
          <cell r="I1311"/>
          <cell r="J1311"/>
          <cell r="K1311"/>
          <cell r="L1311"/>
        </row>
        <row r="1312">
          <cell r="E1312"/>
          <cell r="F1312"/>
          <cell r="I1312"/>
          <cell r="J1312"/>
          <cell r="K1312"/>
          <cell r="L1312"/>
        </row>
        <row r="1313">
          <cell r="E1313"/>
          <cell r="F1313"/>
          <cell r="I1313"/>
          <cell r="J1313"/>
          <cell r="K1313"/>
          <cell r="L1313"/>
        </row>
        <row r="1314">
          <cell r="E1314"/>
          <cell r="F1314"/>
          <cell r="I1314"/>
          <cell r="J1314"/>
          <cell r="K1314"/>
          <cell r="L1314"/>
        </row>
        <row r="1315">
          <cell r="E1315"/>
          <cell r="F1315"/>
          <cell r="I1315"/>
          <cell r="J1315"/>
          <cell r="K1315"/>
          <cell r="L1315"/>
        </row>
        <row r="1316">
          <cell r="E1316"/>
          <cell r="F1316"/>
          <cell r="I1316"/>
          <cell r="J1316"/>
          <cell r="K1316"/>
          <cell r="L1316"/>
        </row>
        <row r="1317">
          <cell r="E1317"/>
          <cell r="F1317"/>
          <cell r="I1317"/>
          <cell r="J1317"/>
          <cell r="K1317"/>
          <cell r="L1317"/>
        </row>
        <row r="1318">
          <cell r="E1318"/>
          <cell r="F1318"/>
          <cell r="I1318"/>
          <cell r="J1318"/>
          <cell r="K1318"/>
          <cell r="L1318"/>
        </row>
        <row r="1319">
          <cell r="E1319"/>
          <cell r="F1319"/>
          <cell r="I1319"/>
          <cell r="J1319"/>
          <cell r="K1319"/>
          <cell r="L1319"/>
        </row>
        <row r="1320">
          <cell r="E1320"/>
          <cell r="F1320"/>
          <cell r="I1320"/>
          <cell r="J1320"/>
          <cell r="K1320"/>
          <cell r="L1320"/>
        </row>
        <row r="1321">
          <cell r="E1321"/>
          <cell r="F1321"/>
          <cell r="I1321"/>
          <cell r="J1321"/>
          <cell r="K1321"/>
          <cell r="L1321"/>
        </row>
        <row r="1322">
          <cell r="E1322"/>
          <cell r="F1322"/>
          <cell r="I1322"/>
          <cell r="J1322"/>
          <cell r="K1322"/>
          <cell r="L1322"/>
        </row>
        <row r="1323">
          <cell r="E1323"/>
          <cell r="F1323"/>
          <cell r="I1323"/>
          <cell r="J1323"/>
          <cell r="K1323"/>
          <cell r="L1323"/>
        </row>
        <row r="1324">
          <cell r="E1324"/>
          <cell r="F1324"/>
          <cell r="I1324"/>
          <cell r="J1324"/>
          <cell r="K1324"/>
          <cell r="L1324"/>
        </row>
        <row r="1325">
          <cell r="E1325"/>
          <cell r="F1325"/>
          <cell r="I1325"/>
          <cell r="J1325"/>
          <cell r="K1325"/>
          <cell r="L1325"/>
        </row>
        <row r="1326">
          <cell r="E1326"/>
          <cell r="F1326"/>
          <cell r="I1326"/>
          <cell r="J1326"/>
          <cell r="K1326"/>
          <cell r="L1326"/>
        </row>
        <row r="1327">
          <cell r="E1327"/>
          <cell r="F1327"/>
          <cell r="I1327"/>
          <cell r="J1327"/>
          <cell r="K1327"/>
          <cell r="L1327"/>
        </row>
        <row r="1328">
          <cell r="E1328"/>
          <cell r="F1328"/>
          <cell r="I1328"/>
          <cell r="J1328"/>
          <cell r="K1328"/>
          <cell r="L1328"/>
        </row>
        <row r="1329">
          <cell r="E1329"/>
          <cell r="F1329"/>
          <cell r="I1329"/>
          <cell r="J1329"/>
          <cell r="K1329"/>
          <cell r="L1329"/>
        </row>
        <row r="1330">
          <cell r="E1330"/>
          <cell r="F1330"/>
          <cell r="I1330"/>
          <cell r="J1330"/>
          <cell r="K1330"/>
          <cell r="L1330"/>
        </row>
        <row r="1331">
          <cell r="E1331"/>
          <cell r="F1331"/>
          <cell r="I1331"/>
          <cell r="J1331"/>
          <cell r="K1331"/>
          <cell r="L1331"/>
        </row>
        <row r="1332">
          <cell r="E1332"/>
          <cell r="F1332"/>
          <cell r="I1332"/>
          <cell r="J1332"/>
          <cell r="K1332"/>
          <cell r="L1332"/>
        </row>
        <row r="1333">
          <cell r="E1333"/>
          <cell r="F1333"/>
          <cell r="I1333"/>
          <cell r="J1333"/>
          <cell r="K1333"/>
          <cell r="L1333"/>
        </row>
        <row r="1334">
          <cell r="E1334"/>
          <cell r="F1334"/>
          <cell r="I1334"/>
          <cell r="J1334"/>
          <cell r="K1334"/>
          <cell r="L1334"/>
        </row>
        <row r="1335">
          <cell r="E1335"/>
          <cell r="F1335"/>
          <cell r="I1335"/>
          <cell r="J1335"/>
          <cell r="K1335"/>
          <cell r="L1335"/>
        </row>
        <row r="1336">
          <cell r="E1336"/>
          <cell r="F1336"/>
          <cell r="I1336"/>
          <cell r="J1336"/>
          <cell r="K1336"/>
          <cell r="L1336"/>
        </row>
        <row r="1337">
          <cell r="E1337"/>
          <cell r="F1337"/>
          <cell r="I1337"/>
          <cell r="J1337"/>
          <cell r="K1337"/>
          <cell r="L1337"/>
        </row>
        <row r="1338">
          <cell r="E1338"/>
          <cell r="F1338"/>
          <cell r="I1338"/>
          <cell r="J1338"/>
          <cell r="K1338"/>
          <cell r="L1338"/>
        </row>
        <row r="1339">
          <cell r="E1339"/>
          <cell r="F1339"/>
          <cell r="I1339"/>
          <cell r="J1339"/>
          <cell r="K1339"/>
          <cell r="L1339"/>
        </row>
        <row r="1340">
          <cell r="E1340"/>
          <cell r="F1340"/>
          <cell r="I1340"/>
          <cell r="J1340"/>
          <cell r="K1340"/>
          <cell r="L1340"/>
        </row>
        <row r="1341">
          <cell r="E1341"/>
          <cell r="F1341"/>
          <cell r="I1341"/>
          <cell r="J1341"/>
          <cell r="K1341"/>
          <cell r="L1341"/>
        </row>
        <row r="1342">
          <cell r="E1342"/>
          <cell r="F1342"/>
          <cell r="I1342"/>
          <cell r="J1342"/>
          <cell r="K1342"/>
          <cell r="L1342"/>
        </row>
        <row r="1343">
          <cell r="E1343"/>
          <cell r="F1343"/>
          <cell r="I1343"/>
          <cell r="J1343"/>
          <cell r="K1343"/>
          <cell r="L1343"/>
        </row>
        <row r="1344">
          <cell r="E1344"/>
          <cell r="F1344"/>
          <cell r="I1344"/>
          <cell r="J1344"/>
          <cell r="K1344"/>
          <cell r="L1344"/>
        </row>
        <row r="1345">
          <cell r="E1345"/>
          <cell r="F1345"/>
          <cell r="I1345"/>
          <cell r="J1345"/>
          <cell r="K1345"/>
          <cell r="L1345"/>
        </row>
        <row r="1346">
          <cell r="E1346"/>
          <cell r="F1346"/>
          <cell r="I1346"/>
          <cell r="J1346"/>
          <cell r="K1346"/>
          <cell r="L1346"/>
        </row>
        <row r="1347">
          <cell r="E1347"/>
          <cell r="F1347"/>
          <cell r="I1347"/>
          <cell r="J1347"/>
          <cell r="K1347"/>
          <cell r="L1347"/>
        </row>
        <row r="1348">
          <cell r="E1348"/>
          <cell r="F1348"/>
          <cell r="I1348"/>
          <cell r="J1348"/>
          <cell r="K1348"/>
          <cell r="L1348"/>
        </row>
        <row r="1349">
          <cell r="E1349"/>
          <cell r="F1349"/>
          <cell r="I1349"/>
          <cell r="J1349"/>
          <cell r="K1349"/>
          <cell r="L1349"/>
        </row>
        <row r="1350">
          <cell r="E1350"/>
          <cell r="F1350"/>
          <cell r="I1350"/>
          <cell r="J1350"/>
          <cell r="K1350"/>
          <cell r="L1350"/>
        </row>
        <row r="1351">
          <cell r="E1351"/>
          <cell r="F1351"/>
          <cell r="I1351"/>
          <cell r="J1351"/>
          <cell r="K1351"/>
          <cell r="L1351"/>
        </row>
        <row r="1352">
          <cell r="E1352"/>
          <cell r="F1352"/>
          <cell r="I1352"/>
          <cell r="J1352"/>
          <cell r="K1352"/>
          <cell r="L1352"/>
        </row>
        <row r="1353">
          <cell r="E1353"/>
          <cell r="F1353"/>
          <cell r="I1353"/>
          <cell r="J1353"/>
          <cell r="K1353"/>
          <cell r="L1353"/>
        </row>
        <row r="1354">
          <cell r="E1354"/>
          <cell r="F1354"/>
          <cell r="I1354"/>
          <cell r="J1354"/>
          <cell r="K1354"/>
          <cell r="L1354"/>
        </row>
        <row r="1355">
          <cell r="E1355"/>
          <cell r="F1355"/>
          <cell r="I1355"/>
          <cell r="J1355"/>
          <cell r="K1355"/>
          <cell r="L1355"/>
        </row>
        <row r="1356">
          <cell r="E1356"/>
          <cell r="F1356"/>
          <cell r="I1356"/>
          <cell r="J1356"/>
          <cell r="K1356"/>
          <cell r="L1356"/>
        </row>
        <row r="1357">
          <cell r="E1357"/>
          <cell r="F1357"/>
          <cell r="I1357"/>
          <cell r="J1357"/>
          <cell r="K1357"/>
          <cell r="L1357"/>
        </row>
        <row r="1358">
          <cell r="E1358"/>
          <cell r="F1358"/>
          <cell r="I1358"/>
          <cell r="J1358"/>
          <cell r="K1358"/>
          <cell r="L1358"/>
        </row>
        <row r="1359">
          <cell r="E1359"/>
          <cell r="F1359"/>
          <cell r="I1359"/>
          <cell r="J1359"/>
          <cell r="K1359"/>
          <cell r="L1359"/>
        </row>
        <row r="1360">
          <cell r="E1360"/>
          <cell r="F1360"/>
          <cell r="I1360"/>
          <cell r="J1360"/>
          <cell r="K1360"/>
          <cell r="L1360"/>
        </row>
        <row r="1361">
          <cell r="E1361"/>
          <cell r="F1361"/>
          <cell r="I1361"/>
          <cell r="J1361"/>
          <cell r="K1361"/>
          <cell r="L1361"/>
        </row>
        <row r="1362">
          <cell r="E1362"/>
          <cell r="F1362"/>
          <cell r="I1362"/>
          <cell r="J1362"/>
          <cell r="K1362"/>
          <cell r="L1362"/>
        </row>
        <row r="1363">
          <cell r="E1363"/>
          <cell r="F1363"/>
          <cell r="I1363"/>
          <cell r="J1363"/>
          <cell r="K1363"/>
          <cell r="L1363"/>
        </row>
        <row r="1364">
          <cell r="E1364"/>
          <cell r="F1364"/>
          <cell r="I1364"/>
          <cell r="J1364"/>
          <cell r="K1364"/>
          <cell r="L1364"/>
        </row>
        <row r="1365">
          <cell r="E1365"/>
          <cell r="F1365"/>
          <cell r="I1365"/>
          <cell r="J1365"/>
          <cell r="K1365"/>
          <cell r="L1365"/>
        </row>
        <row r="1366">
          <cell r="E1366"/>
          <cell r="F1366"/>
          <cell r="I1366"/>
          <cell r="J1366"/>
          <cell r="K1366"/>
          <cell r="L1366"/>
        </row>
        <row r="1367">
          <cell r="E1367"/>
          <cell r="F1367"/>
          <cell r="I1367"/>
          <cell r="J1367"/>
          <cell r="K1367"/>
          <cell r="L1367"/>
        </row>
        <row r="1368">
          <cell r="E1368"/>
          <cell r="F1368"/>
          <cell r="I1368"/>
          <cell r="J1368"/>
          <cell r="K1368"/>
          <cell r="L1368"/>
        </row>
        <row r="1369">
          <cell r="E1369"/>
          <cell r="F1369"/>
          <cell r="I1369"/>
          <cell r="J1369"/>
          <cell r="K1369"/>
          <cell r="L1369"/>
        </row>
        <row r="1370">
          <cell r="E1370"/>
          <cell r="F1370"/>
          <cell r="I1370"/>
          <cell r="J1370"/>
          <cell r="K1370"/>
          <cell r="L1370"/>
        </row>
        <row r="1371">
          <cell r="E1371"/>
          <cell r="F1371"/>
          <cell r="I1371"/>
          <cell r="J1371"/>
          <cell r="K1371"/>
          <cell r="L1371"/>
        </row>
        <row r="1372">
          <cell r="E1372"/>
          <cell r="F1372"/>
          <cell r="I1372"/>
          <cell r="J1372"/>
          <cell r="K1372"/>
          <cell r="L1372"/>
        </row>
        <row r="1373">
          <cell r="E1373"/>
          <cell r="F1373"/>
          <cell r="I1373"/>
          <cell r="J1373"/>
          <cell r="K1373"/>
          <cell r="L1373"/>
        </row>
        <row r="1374">
          <cell r="E1374"/>
          <cell r="F1374"/>
          <cell r="I1374"/>
          <cell r="J1374"/>
          <cell r="K1374"/>
          <cell r="L1374"/>
        </row>
        <row r="1375">
          <cell r="E1375"/>
          <cell r="F1375"/>
          <cell r="I1375"/>
          <cell r="J1375"/>
          <cell r="K1375"/>
          <cell r="L1375"/>
        </row>
        <row r="1376">
          <cell r="E1376"/>
          <cell r="F1376"/>
          <cell r="I1376"/>
          <cell r="J1376"/>
          <cell r="K1376"/>
          <cell r="L1376"/>
        </row>
        <row r="1377">
          <cell r="E1377"/>
          <cell r="F1377"/>
          <cell r="I1377"/>
          <cell r="J1377"/>
          <cell r="K1377"/>
          <cell r="L1377"/>
        </row>
        <row r="1378">
          <cell r="E1378"/>
          <cell r="F1378"/>
          <cell r="I1378"/>
          <cell r="J1378"/>
          <cell r="K1378"/>
          <cell r="L1378"/>
        </row>
        <row r="1379">
          <cell r="E1379"/>
          <cell r="F1379"/>
          <cell r="I1379"/>
          <cell r="J1379"/>
          <cell r="K1379"/>
          <cell r="L1379"/>
        </row>
        <row r="1380">
          <cell r="E1380"/>
          <cell r="F1380"/>
          <cell r="I1380"/>
          <cell r="J1380"/>
          <cell r="K1380"/>
          <cell r="L1380"/>
        </row>
        <row r="1381">
          <cell r="E1381"/>
          <cell r="F1381"/>
          <cell r="I1381"/>
          <cell r="J1381"/>
          <cell r="K1381"/>
          <cell r="L1381"/>
        </row>
        <row r="1382">
          <cell r="E1382"/>
          <cell r="F1382"/>
          <cell r="I1382"/>
          <cell r="J1382"/>
          <cell r="K1382"/>
          <cell r="L1382"/>
        </row>
        <row r="1383">
          <cell r="E1383"/>
          <cell r="F1383"/>
          <cell r="I1383"/>
          <cell r="J1383"/>
          <cell r="K1383"/>
          <cell r="L1383"/>
        </row>
        <row r="1384">
          <cell r="E1384"/>
          <cell r="F1384"/>
          <cell r="I1384"/>
          <cell r="J1384"/>
          <cell r="K1384"/>
          <cell r="L1384"/>
        </row>
        <row r="1385">
          <cell r="E1385"/>
          <cell r="F1385"/>
          <cell r="I1385"/>
          <cell r="J1385"/>
          <cell r="K1385"/>
          <cell r="L1385"/>
        </row>
        <row r="1386">
          <cell r="E1386"/>
          <cell r="F1386"/>
          <cell r="I1386"/>
          <cell r="J1386"/>
          <cell r="K1386"/>
          <cell r="L1386"/>
        </row>
        <row r="1387">
          <cell r="E1387"/>
          <cell r="F1387"/>
          <cell r="I1387"/>
          <cell r="J1387"/>
          <cell r="K1387"/>
          <cell r="L1387"/>
        </row>
        <row r="1388">
          <cell r="E1388"/>
          <cell r="F1388"/>
          <cell r="I1388"/>
          <cell r="J1388"/>
          <cell r="K1388"/>
          <cell r="L1388"/>
        </row>
        <row r="1389">
          <cell r="E1389"/>
          <cell r="F1389"/>
          <cell r="I1389"/>
          <cell r="J1389"/>
          <cell r="K1389"/>
          <cell r="L1389"/>
        </row>
        <row r="1390">
          <cell r="E1390"/>
          <cell r="F1390"/>
          <cell r="I1390"/>
          <cell r="J1390"/>
          <cell r="K1390"/>
          <cell r="L1390"/>
        </row>
        <row r="1391">
          <cell r="E1391"/>
          <cell r="F1391"/>
          <cell r="I1391"/>
          <cell r="J1391"/>
          <cell r="K1391"/>
          <cell r="L1391"/>
        </row>
        <row r="1392">
          <cell r="E1392"/>
          <cell r="F1392"/>
          <cell r="I1392"/>
          <cell r="J1392"/>
          <cell r="K1392"/>
          <cell r="L1392"/>
        </row>
        <row r="1393">
          <cell r="E1393"/>
          <cell r="F1393"/>
          <cell r="I1393"/>
          <cell r="J1393"/>
          <cell r="K1393"/>
          <cell r="L1393"/>
        </row>
        <row r="1394">
          <cell r="E1394"/>
          <cell r="F1394"/>
          <cell r="I1394"/>
          <cell r="J1394"/>
          <cell r="K1394"/>
          <cell r="L1394"/>
        </row>
        <row r="1395">
          <cell r="E1395"/>
          <cell r="F1395"/>
          <cell r="I1395"/>
          <cell r="J1395"/>
          <cell r="K1395"/>
          <cell r="L1395"/>
        </row>
        <row r="1396">
          <cell r="E1396"/>
          <cell r="F1396"/>
          <cell r="I1396"/>
          <cell r="J1396"/>
          <cell r="K1396"/>
          <cell r="L1396"/>
        </row>
        <row r="1397">
          <cell r="E1397"/>
          <cell r="F1397"/>
          <cell r="I1397"/>
          <cell r="J1397"/>
          <cell r="K1397"/>
          <cell r="L1397"/>
        </row>
        <row r="1398">
          <cell r="E1398"/>
          <cell r="F1398"/>
          <cell r="I1398"/>
          <cell r="J1398"/>
          <cell r="K1398"/>
          <cell r="L1398"/>
        </row>
        <row r="1399">
          <cell r="E1399"/>
          <cell r="F1399"/>
          <cell r="I1399"/>
          <cell r="J1399"/>
          <cell r="K1399"/>
          <cell r="L1399"/>
        </row>
        <row r="1400">
          <cell r="E1400"/>
          <cell r="F1400"/>
          <cell r="I1400"/>
          <cell r="J1400"/>
          <cell r="K1400"/>
          <cell r="L1400"/>
        </row>
        <row r="1401">
          <cell r="E1401"/>
          <cell r="F1401"/>
          <cell r="I1401"/>
          <cell r="J1401"/>
          <cell r="K1401"/>
          <cell r="L1401"/>
        </row>
        <row r="1402">
          <cell r="E1402"/>
          <cell r="F1402"/>
          <cell r="I1402"/>
          <cell r="J1402"/>
          <cell r="K1402"/>
          <cell r="L1402"/>
        </row>
        <row r="1403">
          <cell r="E1403"/>
          <cell r="F1403"/>
          <cell r="I1403"/>
          <cell r="J1403"/>
          <cell r="K1403"/>
          <cell r="L1403"/>
        </row>
        <row r="1404">
          <cell r="E1404"/>
          <cell r="F1404"/>
          <cell r="I1404"/>
          <cell r="J1404"/>
          <cell r="K1404"/>
          <cell r="L1404"/>
        </row>
        <row r="1405">
          <cell r="E1405"/>
          <cell r="F1405"/>
          <cell r="I1405"/>
          <cell r="J1405"/>
          <cell r="K1405"/>
          <cell r="L1405"/>
        </row>
        <row r="1406">
          <cell r="E1406"/>
          <cell r="F1406"/>
          <cell r="I1406"/>
          <cell r="J1406"/>
          <cell r="K1406"/>
          <cell r="L1406"/>
        </row>
        <row r="1407">
          <cell r="E1407"/>
          <cell r="F1407"/>
          <cell r="I1407"/>
          <cell r="J1407"/>
          <cell r="K1407"/>
          <cell r="L1407"/>
        </row>
        <row r="1408">
          <cell r="E1408"/>
          <cell r="F1408"/>
          <cell r="I1408"/>
          <cell r="J1408"/>
          <cell r="K1408"/>
          <cell r="L1408"/>
        </row>
        <row r="1409">
          <cell r="E1409"/>
          <cell r="F1409"/>
          <cell r="I1409"/>
          <cell r="J1409"/>
          <cell r="K1409"/>
          <cell r="L1409"/>
        </row>
        <row r="1410">
          <cell r="E1410"/>
          <cell r="F1410"/>
          <cell r="I1410"/>
          <cell r="J1410"/>
          <cell r="K1410"/>
          <cell r="L1410"/>
        </row>
        <row r="1411">
          <cell r="E1411"/>
          <cell r="F1411"/>
          <cell r="I1411"/>
          <cell r="J1411"/>
          <cell r="K1411"/>
          <cell r="L1411"/>
        </row>
        <row r="1412">
          <cell r="E1412"/>
          <cell r="F1412"/>
          <cell r="I1412"/>
          <cell r="J1412"/>
          <cell r="K1412"/>
          <cell r="L1412"/>
        </row>
        <row r="1413">
          <cell r="E1413"/>
          <cell r="F1413"/>
          <cell r="I1413"/>
          <cell r="J1413"/>
          <cell r="K1413"/>
          <cell r="L1413"/>
        </row>
        <row r="1414">
          <cell r="E1414"/>
          <cell r="F1414"/>
          <cell r="I1414"/>
          <cell r="J1414"/>
          <cell r="K1414"/>
          <cell r="L1414"/>
        </row>
        <row r="1415">
          <cell r="E1415"/>
          <cell r="F1415"/>
          <cell r="I1415"/>
          <cell r="J1415"/>
          <cell r="K1415"/>
          <cell r="L1415"/>
        </row>
        <row r="1416">
          <cell r="E1416"/>
          <cell r="F1416"/>
          <cell r="I1416"/>
          <cell r="J1416"/>
          <cell r="K1416"/>
          <cell r="L1416"/>
        </row>
        <row r="1417">
          <cell r="E1417"/>
          <cell r="F1417"/>
          <cell r="I1417"/>
          <cell r="J1417"/>
          <cell r="K1417"/>
          <cell r="L1417"/>
        </row>
        <row r="1418">
          <cell r="E1418"/>
          <cell r="F1418"/>
          <cell r="I1418"/>
          <cell r="J1418"/>
          <cell r="K1418"/>
          <cell r="L1418"/>
        </row>
        <row r="1419">
          <cell r="E1419"/>
          <cell r="F1419"/>
          <cell r="I1419"/>
          <cell r="J1419"/>
          <cell r="K1419"/>
          <cell r="L1419"/>
        </row>
        <row r="1420">
          <cell r="E1420"/>
          <cell r="F1420"/>
          <cell r="I1420"/>
          <cell r="J1420"/>
          <cell r="K1420"/>
          <cell r="L1420"/>
        </row>
        <row r="1421">
          <cell r="E1421"/>
          <cell r="F1421"/>
          <cell r="I1421"/>
          <cell r="J1421"/>
          <cell r="K1421"/>
          <cell r="L1421"/>
        </row>
        <row r="1422">
          <cell r="E1422"/>
          <cell r="F1422"/>
          <cell r="I1422"/>
          <cell r="J1422"/>
          <cell r="K1422"/>
          <cell r="L1422"/>
        </row>
        <row r="1423">
          <cell r="E1423"/>
          <cell r="F1423"/>
          <cell r="I1423"/>
          <cell r="J1423"/>
          <cell r="K1423"/>
          <cell r="L1423"/>
        </row>
        <row r="1424">
          <cell r="E1424"/>
          <cell r="F1424"/>
          <cell r="I1424"/>
          <cell r="J1424"/>
          <cell r="K1424"/>
          <cell r="L1424"/>
        </row>
        <row r="1425">
          <cell r="E1425"/>
          <cell r="F1425"/>
          <cell r="I1425"/>
          <cell r="J1425"/>
          <cell r="K1425"/>
          <cell r="L1425"/>
        </row>
        <row r="1426">
          <cell r="E1426"/>
          <cell r="F1426"/>
          <cell r="I1426"/>
          <cell r="J1426"/>
          <cell r="K1426"/>
          <cell r="L1426"/>
        </row>
        <row r="1427">
          <cell r="E1427"/>
          <cell r="F1427"/>
          <cell r="I1427"/>
          <cell r="J1427"/>
          <cell r="K1427"/>
          <cell r="L1427"/>
        </row>
        <row r="1428">
          <cell r="E1428"/>
          <cell r="F1428"/>
          <cell r="I1428"/>
          <cell r="J1428"/>
          <cell r="K1428"/>
          <cell r="L1428"/>
        </row>
        <row r="1429">
          <cell r="E1429"/>
          <cell r="F1429"/>
          <cell r="I1429"/>
          <cell r="J1429"/>
          <cell r="K1429"/>
          <cell r="L1429"/>
        </row>
        <row r="1430">
          <cell r="E1430"/>
          <cell r="F1430"/>
          <cell r="I1430"/>
          <cell r="J1430"/>
          <cell r="K1430"/>
          <cell r="L1430"/>
        </row>
        <row r="1431">
          <cell r="E1431"/>
          <cell r="F1431"/>
          <cell r="I1431"/>
          <cell r="J1431"/>
          <cell r="K1431"/>
          <cell r="L1431"/>
        </row>
        <row r="1432">
          <cell r="E1432"/>
          <cell r="F1432"/>
          <cell r="I1432"/>
          <cell r="J1432"/>
          <cell r="K1432"/>
          <cell r="L1432"/>
        </row>
        <row r="1433">
          <cell r="E1433"/>
          <cell r="F1433"/>
          <cell r="I1433"/>
          <cell r="J1433"/>
          <cell r="K1433"/>
          <cell r="L1433"/>
        </row>
        <row r="1434">
          <cell r="E1434"/>
          <cell r="F1434"/>
          <cell r="I1434"/>
          <cell r="J1434"/>
          <cell r="K1434"/>
          <cell r="L1434"/>
        </row>
        <row r="1435">
          <cell r="E1435"/>
          <cell r="F1435"/>
          <cell r="I1435"/>
          <cell r="J1435"/>
          <cell r="K1435"/>
          <cell r="L1435"/>
        </row>
        <row r="1436">
          <cell r="E1436"/>
          <cell r="F1436"/>
          <cell r="I1436"/>
          <cell r="J1436"/>
          <cell r="K1436"/>
          <cell r="L1436"/>
        </row>
        <row r="1437">
          <cell r="E1437"/>
          <cell r="F1437"/>
          <cell r="I1437"/>
          <cell r="J1437"/>
          <cell r="K1437"/>
          <cell r="L1437"/>
        </row>
        <row r="1438">
          <cell r="E1438"/>
          <cell r="F1438"/>
          <cell r="I1438"/>
          <cell r="J1438"/>
          <cell r="K1438"/>
          <cell r="L1438"/>
        </row>
        <row r="1439">
          <cell r="E1439"/>
          <cell r="F1439"/>
          <cell r="I1439"/>
          <cell r="J1439"/>
          <cell r="K1439"/>
          <cell r="L1439"/>
        </row>
        <row r="1440">
          <cell r="E1440"/>
          <cell r="F1440"/>
          <cell r="I1440"/>
          <cell r="J1440"/>
          <cell r="K1440"/>
          <cell r="L1440"/>
        </row>
        <row r="1441">
          <cell r="E1441"/>
          <cell r="F1441"/>
          <cell r="I1441"/>
          <cell r="J1441"/>
          <cell r="K1441"/>
          <cell r="L1441"/>
        </row>
        <row r="1442">
          <cell r="E1442"/>
          <cell r="F1442"/>
          <cell r="I1442"/>
          <cell r="J1442"/>
          <cell r="K1442"/>
          <cell r="L1442"/>
        </row>
        <row r="1443">
          <cell r="E1443"/>
          <cell r="F1443"/>
          <cell r="I1443"/>
          <cell r="J1443"/>
          <cell r="K1443"/>
          <cell r="L1443"/>
        </row>
        <row r="1444">
          <cell r="E1444"/>
          <cell r="F1444"/>
          <cell r="I1444"/>
          <cell r="J1444"/>
          <cell r="K1444"/>
          <cell r="L1444"/>
        </row>
        <row r="1445">
          <cell r="E1445"/>
          <cell r="F1445"/>
          <cell r="I1445"/>
          <cell r="J1445"/>
          <cell r="K1445"/>
          <cell r="L1445"/>
        </row>
        <row r="1446">
          <cell r="E1446"/>
          <cell r="F1446"/>
          <cell r="I1446"/>
          <cell r="J1446"/>
          <cell r="K1446"/>
          <cell r="L1446"/>
        </row>
        <row r="1447">
          <cell r="E1447"/>
          <cell r="F1447"/>
          <cell r="I1447"/>
          <cell r="J1447"/>
          <cell r="K1447"/>
          <cell r="L1447"/>
        </row>
        <row r="1448">
          <cell r="E1448"/>
          <cell r="F1448"/>
          <cell r="I1448"/>
          <cell r="J1448"/>
          <cell r="K1448"/>
          <cell r="L1448"/>
        </row>
        <row r="1449">
          <cell r="E1449"/>
          <cell r="F1449"/>
          <cell r="I1449"/>
          <cell r="J1449"/>
          <cell r="K1449"/>
          <cell r="L1449"/>
        </row>
        <row r="1450">
          <cell r="E1450"/>
          <cell r="F1450"/>
          <cell r="I1450"/>
          <cell r="J1450"/>
          <cell r="K1450"/>
          <cell r="L1450"/>
        </row>
        <row r="1451">
          <cell r="E1451"/>
          <cell r="F1451"/>
          <cell r="I1451"/>
          <cell r="J1451"/>
          <cell r="K1451"/>
          <cell r="L1451"/>
        </row>
        <row r="1452">
          <cell r="E1452"/>
          <cell r="F1452"/>
          <cell r="I1452"/>
          <cell r="J1452"/>
          <cell r="K1452"/>
          <cell r="L1452"/>
        </row>
        <row r="1453">
          <cell r="E1453"/>
          <cell r="F1453"/>
          <cell r="I1453"/>
          <cell r="J1453"/>
          <cell r="K1453"/>
          <cell r="L1453"/>
        </row>
        <row r="1454">
          <cell r="E1454"/>
          <cell r="F1454"/>
          <cell r="I1454"/>
          <cell r="J1454"/>
          <cell r="K1454"/>
          <cell r="L1454"/>
        </row>
        <row r="1455">
          <cell r="E1455"/>
          <cell r="F1455"/>
          <cell r="I1455"/>
          <cell r="J1455"/>
          <cell r="K1455"/>
          <cell r="L1455"/>
        </row>
        <row r="1456">
          <cell r="E1456"/>
          <cell r="F1456"/>
          <cell r="I1456"/>
          <cell r="J1456"/>
          <cell r="K1456"/>
          <cell r="L1456"/>
        </row>
        <row r="1457">
          <cell r="E1457"/>
          <cell r="F1457"/>
          <cell r="I1457"/>
          <cell r="J1457"/>
          <cell r="K1457"/>
          <cell r="L1457"/>
        </row>
        <row r="1458">
          <cell r="E1458"/>
          <cell r="F1458"/>
          <cell r="I1458"/>
          <cell r="J1458"/>
          <cell r="K1458"/>
          <cell r="L1458"/>
        </row>
        <row r="1459">
          <cell r="E1459"/>
          <cell r="F1459"/>
          <cell r="I1459"/>
          <cell r="J1459"/>
          <cell r="K1459"/>
          <cell r="L1459"/>
        </row>
        <row r="1460">
          <cell r="E1460"/>
          <cell r="F1460"/>
          <cell r="I1460"/>
          <cell r="J1460"/>
          <cell r="K1460"/>
          <cell r="L1460"/>
        </row>
        <row r="1461">
          <cell r="E1461"/>
          <cell r="F1461"/>
          <cell r="I1461"/>
          <cell r="J1461"/>
          <cell r="K1461"/>
          <cell r="L1461"/>
        </row>
        <row r="1462">
          <cell r="E1462"/>
          <cell r="F1462"/>
          <cell r="I1462"/>
          <cell r="J1462"/>
          <cell r="K1462"/>
          <cell r="L1462"/>
        </row>
        <row r="1463">
          <cell r="E1463"/>
          <cell r="F1463"/>
          <cell r="I1463"/>
          <cell r="J1463"/>
          <cell r="K1463"/>
          <cell r="L1463"/>
        </row>
        <row r="1464">
          <cell r="E1464"/>
          <cell r="F1464"/>
          <cell r="I1464"/>
          <cell r="J1464"/>
          <cell r="K1464"/>
          <cell r="L1464"/>
        </row>
        <row r="1465">
          <cell r="E1465"/>
          <cell r="F1465"/>
          <cell r="I1465"/>
          <cell r="J1465"/>
          <cell r="K1465"/>
          <cell r="L1465"/>
        </row>
        <row r="1466">
          <cell r="E1466"/>
          <cell r="F1466"/>
          <cell r="I1466"/>
          <cell r="J1466"/>
          <cell r="K1466"/>
          <cell r="L1466"/>
        </row>
        <row r="1467">
          <cell r="E1467"/>
          <cell r="F1467"/>
          <cell r="I1467"/>
          <cell r="J1467"/>
          <cell r="K1467"/>
          <cell r="L1467"/>
        </row>
        <row r="1468">
          <cell r="E1468"/>
          <cell r="F1468"/>
          <cell r="I1468"/>
          <cell r="J1468"/>
          <cell r="K1468"/>
          <cell r="L1468"/>
        </row>
        <row r="1469">
          <cell r="E1469"/>
          <cell r="F1469"/>
          <cell r="I1469"/>
          <cell r="J1469"/>
          <cell r="K1469"/>
          <cell r="L1469"/>
        </row>
        <row r="1470">
          <cell r="E1470"/>
          <cell r="F1470"/>
          <cell r="I1470"/>
          <cell r="J1470"/>
          <cell r="K1470"/>
          <cell r="L1470"/>
        </row>
        <row r="1471">
          <cell r="E1471"/>
          <cell r="F1471"/>
          <cell r="I1471"/>
          <cell r="J1471"/>
          <cell r="K1471"/>
          <cell r="L1471"/>
        </row>
        <row r="1472">
          <cell r="E1472"/>
          <cell r="F1472"/>
          <cell r="I1472"/>
          <cell r="J1472"/>
          <cell r="K1472"/>
          <cell r="L1472"/>
        </row>
        <row r="1473">
          <cell r="E1473"/>
          <cell r="F1473"/>
          <cell r="I1473"/>
          <cell r="J1473"/>
          <cell r="K1473"/>
          <cell r="L1473"/>
        </row>
        <row r="1474">
          <cell r="E1474"/>
          <cell r="F1474"/>
          <cell r="I1474"/>
          <cell r="J1474"/>
          <cell r="K1474"/>
          <cell r="L1474"/>
        </row>
        <row r="1475">
          <cell r="E1475"/>
          <cell r="F1475"/>
          <cell r="I1475"/>
          <cell r="J1475"/>
          <cell r="K1475"/>
          <cell r="L1475"/>
        </row>
        <row r="1476">
          <cell r="E1476"/>
          <cell r="F1476"/>
          <cell r="I1476"/>
          <cell r="J1476"/>
          <cell r="K1476"/>
          <cell r="L1476"/>
        </row>
        <row r="1477">
          <cell r="E1477"/>
          <cell r="F1477"/>
          <cell r="I1477"/>
          <cell r="J1477"/>
          <cell r="K1477"/>
          <cell r="L1477"/>
        </row>
        <row r="1478">
          <cell r="E1478"/>
          <cell r="F1478"/>
          <cell r="I1478"/>
          <cell r="J1478"/>
          <cell r="K1478"/>
          <cell r="L1478"/>
        </row>
        <row r="1479">
          <cell r="E1479"/>
          <cell r="F1479"/>
          <cell r="I1479"/>
          <cell r="J1479"/>
          <cell r="K1479"/>
          <cell r="L1479"/>
        </row>
        <row r="1480">
          <cell r="E1480"/>
          <cell r="F1480"/>
          <cell r="I1480"/>
          <cell r="J1480"/>
          <cell r="K1480"/>
          <cell r="L1480"/>
        </row>
        <row r="1481">
          <cell r="E1481"/>
          <cell r="F1481"/>
          <cell r="I1481"/>
          <cell r="J1481"/>
          <cell r="K1481"/>
          <cell r="L1481"/>
        </row>
        <row r="1482">
          <cell r="E1482"/>
          <cell r="F1482"/>
          <cell r="I1482"/>
          <cell r="J1482"/>
          <cell r="K1482"/>
          <cell r="L1482"/>
        </row>
        <row r="1483">
          <cell r="E1483"/>
          <cell r="F1483"/>
          <cell r="I1483"/>
          <cell r="J1483"/>
          <cell r="K1483"/>
          <cell r="L1483"/>
        </row>
        <row r="1484">
          <cell r="E1484"/>
          <cell r="F1484"/>
          <cell r="I1484"/>
          <cell r="J1484"/>
          <cell r="K1484"/>
          <cell r="L1484"/>
        </row>
        <row r="1485">
          <cell r="E1485"/>
          <cell r="F1485"/>
          <cell r="I1485"/>
          <cell r="J1485"/>
          <cell r="K1485"/>
          <cell r="L1485"/>
        </row>
        <row r="1486">
          <cell r="E1486"/>
          <cell r="F1486"/>
          <cell r="I1486"/>
          <cell r="J1486"/>
          <cell r="K1486"/>
          <cell r="L1486"/>
        </row>
        <row r="1487">
          <cell r="E1487"/>
          <cell r="F1487"/>
          <cell r="I1487"/>
          <cell r="J1487"/>
          <cell r="K1487"/>
          <cell r="L1487"/>
        </row>
        <row r="1488">
          <cell r="E1488"/>
          <cell r="F1488"/>
          <cell r="I1488"/>
          <cell r="J1488"/>
          <cell r="K1488"/>
          <cell r="L1488"/>
        </row>
        <row r="1489">
          <cell r="E1489"/>
          <cell r="F1489"/>
          <cell r="I1489"/>
          <cell r="J1489"/>
          <cell r="K1489"/>
          <cell r="L1489"/>
        </row>
        <row r="1490">
          <cell r="E1490"/>
          <cell r="F1490"/>
          <cell r="I1490"/>
          <cell r="J1490"/>
          <cell r="K1490"/>
          <cell r="L1490"/>
        </row>
        <row r="1491">
          <cell r="E1491"/>
          <cell r="F1491"/>
          <cell r="I1491"/>
          <cell r="J1491"/>
          <cell r="K1491"/>
          <cell r="L1491"/>
        </row>
        <row r="1492">
          <cell r="E1492"/>
          <cell r="F1492"/>
          <cell r="I1492"/>
          <cell r="J1492"/>
          <cell r="K1492"/>
          <cell r="L1492"/>
        </row>
        <row r="1493">
          <cell r="E1493"/>
          <cell r="F1493"/>
          <cell r="I1493"/>
          <cell r="J1493"/>
          <cell r="K1493"/>
          <cell r="L1493"/>
        </row>
        <row r="1494">
          <cell r="E1494"/>
          <cell r="F1494"/>
          <cell r="I1494"/>
          <cell r="J1494"/>
          <cell r="K1494"/>
          <cell r="L1494"/>
        </row>
        <row r="1495">
          <cell r="E1495"/>
          <cell r="F1495"/>
          <cell r="I1495"/>
          <cell r="J1495"/>
          <cell r="K1495"/>
          <cell r="L1495"/>
        </row>
        <row r="1496">
          <cell r="E1496"/>
          <cell r="F1496"/>
          <cell r="I1496"/>
          <cell r="J1496"/>
          <cell r="K1496"/>
          <cell r="L1496"/>
        </row>
        <row r="1497">
          <cell r="E1497"/>
          <cell r="F1497"/>
          <cell r="I1497"/>
          <cell r="J1497"/>
          <cell r="K1497"/>
          <cell r="L1497"/>
        </row>
        <row r="1498">
          <cell r="E1498"/>
          <cell r="F1498"/>
          <cell r="I1498"/>
          <cell r="J1498"/>
          <cell r="K1498"/>
          <cell r="L1498"/>
        </row>
        <row r="1499">
          <cell r="E1499"/>
          <cell r="F1499"/>
          <cell r="I1499"/>
          <cell r="J1499"/>
          <cell r="K1499"/>
          <cell r="L1499"/>
        </row>
        <row r="1500">
          <cell r="E1500"/>
          <cell r="F1500"/>
          <cell r="I1500"/>
          <cell r="J1500"/>
          <cell r="K1500"/>
          <cell r="L1500"/>
        </row>
        <row r="1501">
          <cell r="E1501"/>
          <cell r="F1501"/>
          <cell r="I1501"/>
          <cell r="J1501"/>
          <cell r="K1501"/>
          <cell r="L1501"/>
        </row>
        <row r="1502">
          <cell r="E1502"/>
          <cell r="F1502"/>
          <cell r="I1502"/>
          <cell r="J1502"/>
          <cell r="K1502"/>
          <cell r="L1502"/>
        </row>
        <row r="1503">
          <cell r="E1503"/>
          <cell r="F1503"/>
          <cell r="I1503"/>
          <cell r="J1503"/>
          <cell r="K1503"/>
          <cell r="L1503"/>
        </row>
        <row r="1504">
          <cell r="E1504"/>
          <cell r="F1504"/>
          <cell r="I1504"/>
          <cell r="J1504"/>
          <cell r="K1504"/>
          <cell r="L1504"/>
        </row>
        <row r="1505">
          <cell r="E1505"/>
          <cell r="F1505"/>
          <cell r="I1505"/>
          <cell r="J1505"/>
          <cell r="K1505"/>
          <cell r="L1505"/>
        </row>
        <row r="1506">
          <cell r="E1506"/>
          <cell r="F1506"/>
          <cell r="I1506"/>
          <cell r="J1506"/>
          <cell r="K1506"/>
          <cell r="L1506"/>
        </row>
        <row r="1507">
          <cell r="E1507"/>
          <cell r="F1507"/>
          <cell r="I1507"/>
          <cell r="J1507"/>
          <cell r="K1507"/>
          <cell r="L1507"/>
        </row>
        <row r="1508">
          <cell r="E1508"/>
          <cell r="F1508"/>
          <cell r="I1508"/>
          <cell r="J1508"/>
          <cell r="K1508"/>
          <cell r="L1508"/>
        </row>
        <row r="1509">
          <cell r="E1509"/>
          <cell r="F1509"/>
          <cell r="I1509"/>
          <cell r="J1509"/>
          <cell r="K1509"/>
          <cell r="L1509"/>
        </row>
        <row r="1510">
          <cell r="E1510"/>
          <cell r="F1510"/>
          <cell r="I1510"/>
          <cell r="J1510"/>
          <cell r="K1510"/>
          <cell r="L1510"/>
        </row>
        <row r="1511">
          <cell r="E1511"/>
          <cell r="F1511"/>
          <cell r="I1511"/>
          <cell r="J1511"/>
          <cell r="K1511"/>
          <cell r="L1511"/>
        </row>
        <row r="1512">
          <cell r="E1512"/>
          <cell r="F1512"/>
          <cell r="I1512"/>
          <cell r="J1512"/>
          <cell r="K1512"/>
          <cell r="L1512"/>
        </row>
        <row r="1513">
          <cell r="E1513"/>
          <cell r="F1513"/>
          <cell r="I1513"/>
          <cell r="J1513"/>
          <cell r="K1513"/>
          <cell r="L1513"/>
        </row>
        <row r="1514">
          <cell r="E1514"/>
          <cell r="F1514"/>
          <cell r="I1514"/>
          <cell r="J1514"/>
          <cell r="K1514"/>
          <cell r="L1514"/>
        </row>
        <row r="1515">
          <cell r="E1515"/>
          <cell r="F1515"/>
          <cell r="I1515"/>
          <cell r="J1515"/>
          <cell r="K1515"/>
          <cell r="L1515"/>
        </row>
        <row r="1516">
          <cell r="E1516"/>
          <cell r="F1516"/>
          <cell r="I1516"/>
          <cell r="J1516"/>
          <cell r="K1516"/>
          <cell r="L1516"/>
        </row>
        <row r="1517">
          <cell r="E1517"/>
          <cell r="F1517"/>
          <cell r="I1517"/>
          <cell r="J1517"/>
          <cell r="K1517"/>
          <cell r="L1517"/>
        </row>
        <row r="1518">
          <cell r="E1518"/>
          <cell r="F1518"/>
          <cell r="I1518"/>
          <cell r="J1518"/>
          <cell r="K1518"/>
          <cell r="L1518"/>
        </row>
        <row r="1519">
          <cell r="E1519"/>
          <cell r="F1519"/>
          <cell r="I1519"/>
          <cell r="J1519"/>
          <cell r="K1519"/>
          <cell r="L1519"/>
        </row>
        <row r="1520">
          <cell r="E1520"/>
          <cell r="F1520"/>
          <cell r="I1520"/>
          <cell r="J1520"/>
          <cell r="K1520"/>
          <cell r="L1520"/>
        </row>
        <row r="1521">
          <cell r="E1521"/>
          <cell r="F1521"/>
          <cell r="I1521"/>
          <cell r="J1521"/>
          <cell r="K1521"/>
          <cell r="L1521"/>
        </row>
        <row r="1522">
          <cell r="E1522"/>
          <cell r="F1522"/>
          <cell r="I1522"/>
          <cell r="J1522"/>
          <cell r="K1522"/>
          <cell r="L1522"/>
        </row>
        <row r="1523">
          <cell r="E1523"/>
          <cell r="F1523"/>
          <cell r="I1523"/>
          <cell r="J1523"/>
          <cell r="K1523"/>
          <cell r="L1523"/>
        </row>
        <row r="1524">
          <cell r="E1524"/>
          <cell r="F1524"/>
          <cell r="I1524"/>
          <cell r="J1524"/>
          <cell r="K1524"/>
          <cell r="L1524"/>
        </row>
        <row r="1525">
          <cell r="E1525"/>
          <cell r="F1525"/>
          <cell r="I1525"/>
          <cell r="J1525"/>
          <cell r="K1525"/>
          <cell r="L1525"/>
        </row>
        <row r="1526">
          <cell r="E1526"/>
          <cell r="F1526"/>
          <cell r="I1526"/>
          <cell r="J1526"/>
          <cell r="K1526"/>
          <cell r="L1526"/>
        </row>
        <row r="1527">
          <cell r="E1527"/>
          <cell r="F1527"/>
          <cell r="I1527"/>
          <cell r="J1527"/>
          <cell r="K1527"/>
          <cell r="L1527"/>
        </row>
        <row r="1528">
          <cell r="E1528"/>
          <cell r="F1528"/>
          <cell r="I1528"/>
          <cell r="J1528"/>
          <cell r="K1528"/>
          <cell r="L1528"/>
        </row>
        <row r="1529">
          <cell r="E1529"/>
          <cell r="F1529"/>
          <cell r="I1529"/>
          <cell r="J1529"/>
          <cell r="K1529"/>
          <cell r="L1529"/>
        </row>
        <row r="1530">
          <cell r="E1530"/>
          <cell r="F1530"/>
          <cell r="I1530"/>
          <cell r="J1530"/>
          <cell r="K1530"/>
          <cell r="L1530"/>
        </row>
        <row r="1531">
          <cell r="E1531"/>
          <cell r="F1531"/>
          <cell r="I1531"/>
          <cell r="J1531"/>
          <cell r="K1531"/>
          <cell r="L1531"/>
        </row>
        <row r="1532">
          <cell r="E1532"/>
          <cell r="F1532"/>
          <cell r="I1532"/>
          <cell r="J1532"/>
          <cell r="K1532"/>
          <cell r="L1532"/>
        </row>
        <row r="1533">
          <cell r="E1533"/>
          <cell r="F1533"/>
          <cell r="I1533"/>
          <cell r="J1533"/>
          <cell r="K1533"/>
          <cell r="L1533"/>
        </row>
        <row r="1534">
          <cell r="E1534"/>
          <cell r="F1534"/>
          <cell r="I1534"/>
          <cell r="J1534"/>
          <cell r="K1534"/>
          <cell r="L1534"/>
        </row>
        <row r="1535">
          <cell r="E1535"/>
          <cell r="F1535"/>
          <cell r="I1535"/>
          <cell r="J1535"/>
          <cell r="K1535"/>
          <cell r="L1535"/>
        </row>
        <row r="1536">
          <cell r="E1536"/>
          <cell r="F1536"/>
          <cell r="I1536"/>
          <cell r="J1536"/>
          <cell r="K1536"/>
          <cell r="L1536"/>
        </row>
        <row r="1537">
          <cell r="E1537"/>
          <cell r="F1537"/>
          <cell r="I1537"/>
          <cell r="J1537"/>
          <cell r="K1537"/>
          <cell r="L1537"/>
        </row>
        <row r="1538">
          <cell r="E1538"/>
          <cell r="F1538"/>
          <cell r="I1538"/>
          <cell r="J1538"/>
          <cell r="K1538"/>
          <cell r="L1538"/>
        </row>
        <row r="1539">
          <cell r="E1539"/>
          <cell r="F1539"/>
          <cell r="I1539"/>
          <cell r="J1539"/>
          <cell r="K1539"/>
          <cell r="L1539"/>
        </row>
        <row r="1540">
          <cell r="E1540"/>
          <cell r="F1540"/>
          <cell r="I1540"/>
          <cell r="J1540"/>
          <cell r="K1540"/>
          <cell r="L1540"/>
        </row>
        <row r="1541">
          <cell r="E1541"/>
          <cell r="F1541"/>
          <cell r="I1541"/>
          <cell r="J1541"/>
          <cell r="K1541"/>
          <cell r="L1541"/>
        </row>
        <row r="1542">
          <cell r="E1542"/>
          <cell r="F1542"/>
          <cell r="I1542"/>
          <cell r="J1542"/>
          <cell r="K1542"/>
          <cell r="L1542"/>
        </row>
        <row r="1543">
          <cell r="E1543"/>
          <cell r="F1543"/>
          <cell r="I1543"/>
          <cell r="J1543"/>
          <cell r="K1543"/>
          <cell r="L1543"/>
        </row>
        <row r="1544">
          <cell r="E1544"/>
          <cell r="F1544"/>
          <cell r="I1544"/>
          <cell r="J1544"/>
          <cell r="K1544"/>
          <cell r="L1544"/>
        </row>
        <row r="1545">
          <cell r="E1545"/>
          <cell r="F1545"/>
          <cell r="I1545"/>
          <cell r="J1545"/>
          <cell r="K1545"/>
          <cell r="L1545"/>
        </row>
        <row r="1546">
          <cell r="E1546"/>
          <cell r="F1546"/>
          <cell r="I1546"/>
          <cell r="J1546"/>
          <cell r="K1546"/>
          <cell r="L1546"/>
        </row>
        <row r="1547">
          <cell r="E1547"/>
          <cell r="F1547"/>
          <cell r="I1547"/>
          <cell r="J1547"/>
          <cell r="K1547"/>
          <cell r="L1547"/>
        </row>
        <row r="1548">
          <cell r="E1548"/>
          <cell r="F1548"/>
          <cell r="I1548"/>
          <cell r="J1548"/>
          <cell r="K1548"/>
          <cell r="L1548"/>
        </row>
        <row r="1549">
          <cell r="E1549"/>
          <cell r="F1549"/>
          <cell r="I1549"/>
          <cell r="J1549"/>
          <cell r="K1549"/>
          <cell r="L1549"/>
        </row>
        <row r="1550">
          <cell r="E1550"/>
          <cell r="F1550"/>
          <cell r="I1550"/>
          <cell r="J1550"/>
          <cell r="K1550"/>
          <cell r="L1550"/>
        </row>
        <row r="1551">
          <cell r="E1551"/>
          <cell r="F1551"/>
          <cell r="I1551"/>
          <cell r="J1551"/>
          <cell r="K1551"/>
          <cell r="L1551"/>
        </row>
        <row r="1552">
          <cell r="E1552"/>
          <cell r="F1552"/>
          <cell r="I1552"/>
          <cell r="J1552"/>
          <cell r="K1552"/>
          <cell r="L1552"/>
        </row>
        <row r="1553">
          <cell r="E1553"/>
          <cell r="F1553"/>
          <cell r="I1553"/>
          <cell r="J1553"/>
          <cell r="K1553"/>
          <cell r="L1553"/>
        </row>
        <row r="1554">
          <cell r="E1554"/>
          <cell r="F1554"/>
          <cell r="I1554"/>
          <cell r="J1554"/>
          <cell r="K1554"/>
          <cell r="L1554"/>
        </row>
        <row r="1555">
          <cell r="E1555"/>
          <cell r="F1555"/>
          <cell r="I1555"/>
          <cell r="J1555"/>
          <cell r="K1555"/>
          <cell r="L1555"/>
        </row>
        <row r="1556">
          <cell r="E1556"/>
          <cell r="F1556"/>
          <cell r="I1556"/>
          <cell r="J1556"/>
          <cell r="K1556"/>
          <cell r="L1556"/>
        </row>
        <row r="1557">
          <cell r="E1557"/>
          <cell r="F1557"/>
          <cell r="I1557"/>
          <cell r="J1557"/>
          <cell r="K1557"/>
          <cell r="L1557"/>
        </row>
        <row r="1558">
          <cell r="E1558"/>
          <cell r="F1558"/>
          <cell r="I1558"/>
          <cell r="J1558"/>
          <cell r="K1558"/>
          <cell r="L1558"/>
        </row>
        <row r="1559">
          <cell r="E1559"/>
          <cell r="F1559"/>
          <cell r="I1559"/>
          <cell r="J1559"/>
          <cell r="K1559"/>
          <cell r="L1559"/>
        </row>
        <row r="1560">
          <cell r="E1560"/>
          <cell r="F1560"/>
          <cell r="I1560"/>
          <cell r="J1560"/>
          <cell r="K1560"/>
          <cell r="L1560"/>
        </row>
        <row r="1561">
          <cell r="E1561"/>
          <cell r="F1561"/>
          <cell r="I1561"/>
          <cell r="J1561"/>
          <cell r="K1561"/>
          <cell r="L1561"/>
        </row>
        <row r="1562">
          <cell r="E1562"/>
          <cell r="F1562"/>
          <cell r="I1562"/>
          <cell r="J1562"/>
          <cell r="K1562"/>
          <cell r="L1562"/>
        </row>
        <row r="1563">
          <cell r="E1563"/>
          <cell r="F1563"/>
          <cell r="I1563"/>
          <cell r="J1563"/>
          <cell r="K1563"/>
          <cell r="L1563"/>
        </row>
        <row r="1564">
          <cell r="E1564"/>
          <cell r="F1564"/>
          <cell r="I1564"/>
          <cell r="J1564"/>
          <cell r="K1564"/>
          <cell r="L1564"/>
        </row>
        <row r="1565">
          <cell r="E1565"/>
          <cell r="F1565"/>
          <cell r="I1565"/>
          <cell r="J1565"/>
          <cell r="K1565"/>
          <cell r="L1565"/>
        </row>
        <row r="1566">
          <cell r="E1566"/>
          <cell r="F1566"/>
          <cell r="I1566"/>
          <cell r="J1566"/>
          <cell r="K1566"/>
          <cell r="L1566"/>
        </row>
        <row r="1567">
          <cell r="E1567"/>
          <cell r="F1567"/>
          <cell r="I1567"/>
          <cell r="J1567"/>
          <cell r="K1567"/>
          <cell r="L1567"/>
        </row>
        <row r="1568">
          <cell r="E1568"/>
          <cell r="F1568"/>
          <cell r="I1568"/>
          <cell r="J1568"/>
          <cell r="K1568"/>
          <cell r="L1568"/>
        </row>
        <row r="1569">
          <cell r="E1569"/>
          <cell r="F1569"/>
          <cell r="I1569"/>
          <cell r="J1569"/>
          <cell r="K1569"/>
          <cell r="L1569"/>
        </row>
        <row r="1570">
          <cell r="E1570"/>
          <cell r="F1570"/>
          <cell r="I1570"/>
          <cell r="J1570"/>
          <cell r="K1570"/>
          <cell r="L1570"/>
        </row>
        <row r="1571">
          <cell r="E1571"/>
          <cell r="F1571"/>
          <cell r="I1571"/>
          <cell r="J1571"/>
          <cell r="K1571"/>
          <cell r="L1571"/>
        </row>
        <row r="1572">
          <cell r="E1572"/>
          <cell r="F1572"/>
          <cell r="I1572"/>
          <cell r="J1572"/>
          <cell r="K1572"/>
          <cell r="L1572"/>
        </row>
        <row r="1573">
          <cell r="E1573"/>
          <cell r="F1573"/>
          <cell r="I1573"/>
          <cell r="J1573"/>
          <cell r="K1573"/>
          <cell r="L1573"/>
        </row>
        <row r="1574">
          <cell r="E1574"/>
          <cell r="F1574"/>
          <cell r="I1574"/>
          <cell r="J1574"/>
          <cell r="K1574"/>
          <cell r="L1574"/>
        </row>
        <row r="1575">
          <cell r="E1575"/>
          <cell r="F1575"/>
          <cell r="I1575"/>
          <cell r="J1575"/>
          <cell r="K1575"/>
          <cell r="L1575"/>
        </row>
        <row r="1576">
          <cell r="E1576"/>
          <cell r="F1576"/>
          <cell r="I1576"/>
          <cell r="J1576"/>
          <cell r="K1576"/>
          <cell r="L1576"/>
        </row>
        <row r="1577">
          <cell r="E1577"/>
          <cell r="F1577"/>
          <cell r="I1577"/>
          <cell r="J1577"/>
          <cell r="K1577"/>
          <cell r="L1577"/>
        </row>
        <row r="1578">
          <cell r="E1578"/>
          <cell r="F1578"/>
          <cell r="I1578"/>
          <cell r="J1578"/>
          <cell r="K1578"/>
          <cell r="L1578"/>
        </row>
        <row r="1579">
          <cell r="E1579"/>
          <cell r="F1579"/>
          <cell r="I1579"/>
          <cell r="J1579"/>
          <cell r="K1579"/>
          <cell r="L1579"/>
        </row>
        <row r="1580">
          <cell r="E1580"/>
          <cell r="F1580"/>
          <cell r="I1580"/>
          <cell r="J1580"/>
          <cell r="K1580"/>
          <cell r="L1580"/>
        </row>
        <row r="1581">
          <cell r="E1581"/>
          <cell r="F1581"/>
          <cell r="I1581"/>
          <cell r="J1581"/>
          <cell r="K1581"/>
          <cell r="L1581"/>
        </row>
        <row r="1582">
          <cell r="E1582"/>
          <cell r="F1582"/>
          <cell r="I1582"/>
          <cell r="J1582"/>
          <cell r="K1582"/>
          <cell r="L1582"/>
        </row>
        <row r="1583">
          <cell r="E1583"/>
          <cell r="F1583"/>
          <cell r="I1583"/>
          <cell r="J1583"/>
          <cell r="K1583"/>
          <cell r="L1583"/>
        </row>
        <row r="1584">
          <cell r="E1584"/>
          <cell r="F1584"/>
          <cell r="I1584"/>
          <cell r="J1584"/>
          <cell r="K1584"/>
          <cell r="L1584"/>
        </row>
        <row r="1585">
          <cell r="E1585"/>
          <cell r="F1585"/>
          <cell r="I1585"/>
          <cell r="J1585"/>
          <cell r="K1585"/>
          <cell r="L1585"/>
        </row>
        <row r="1586">
          <cell r="E1586"/>
          <cell r="F1586"/>
          <cell r="I1586"/>
          <cell r="J1586"/>
          <cell r="K1586"/>
          <cell r="L1586"/>
        </row>
        <row r="1587">
          <cell r="E1587"/>
          <cell r="F1587"/>
          <cell r="I1587"/>
          <cell r="J1587"/>
          <cell r="K1587"/>
          <cell r="L1587"/>
        </row>
        <row r="1588">
          <cell r="E1588"/>
          <cell r="F1588"/>
          <cell r="I1588"/>
          <cell r="J1588"/>
          <cell r="K1588"/>
          <cell r="L1588"/>
        </row>
        <row r="1589">
          <cell r="E1589"/>
          <cell r="F1589"/>
          <cell r="I1589"/>
          <cell r="J1589"/>
          <cell r="K1589"/>
          <cell r="L1589"/>
        </row>
        <row r="1590">
          <cell r="E1590"/>
          <cell r="F1590"/>
          <cell r="I1590"/>
          <cell r="J1590"/>
          <cell r="K1590"/>
          <cell r="L1590"/>
        </row>
        <row r="1591">
          <cell r="E1591"/>
          <cell r="F1591"/>
          <cell r="I1591"/>
          <cell r="J1591"/>
          <cell r="K1591"/>
          <cell r="L1591"/>
        </row>
        <row r="1592">
          <cell r="E1592"/>
          <cell r="F1592"/>
          <cell r="I1592"/>
          <cell r="J1592"/>
          <cell r="K1592"/>
          <cell r="L1592"/>
        </row>
        <row r="1593">
          <cell r="E1593"/>
          <cell r="F1593"/>
          <cell r="I1593"/>
          <cell r="J1593"/>
          <cell r="K1593"/>
          <cell r="L1593"/>
        </row>
        <row r="1594">
          <cell r="E1594"/>
          <cell r="F1594"/>
          <cell r="I1594"/>
          <cell r="J1594"/>
          <cell r="K1594"/>
          <cell r="L1594"/>
        </row>
        <row r="1595">
          <cell r="E1595"/>
          <cell r="F1595"/>
          <cell r="I1595"/>
          <cell r="J1595"/>
          <cell r="K1595"/>
          <cell r="L1595"/>
        </row>
        <row r="1596">
          <cell r="E1596"/>
          <cell r="F1596"/>
          <cell r="I1596"/>
          <cell r="J1596"/>
          <cell r="K1596"/>
          <cell r="L1596"/>
        </row>
        <row r="1597">
          <cell r="E1597"/>
          <cell r="F1597"/>
          <cell r="I1597"/>
          <cell r="J1597"/>
          <cell r="K1597"/>
          <cell r="L1597"/>
        </row>
        <row r="1598">
          <cell r="E1598"/>
          <cell r="F1598"/>
          <cell r="I1598"/>
          <cell r="J1598"/>
          <cell r="K1598"/>
          <cell r="L1598"/>
        </row>
        <row r="1599">
          <cell r="E1599"/>
          <cell r="F1599"/>
          <cell r="I1599"/>
          <cell r="J1599"/>
          <cell r="K1599"/>
          <cell r="L1599"/>
        </row>
        <row r="1600">
          <cell r="E1600"/>
          <cell r="F1600"/>
          <cell r="I1600"/>
          <cell r="J1600"/>
          <cell r="K1600"/>
          <cell r="L1600"/>
        </row>
        <row r="1601">
          <cell r="E1601"/>
          <cell r="F1601"/>
          <cell r="I1601"/>
          <cell r="J1601"/>
          <cell r="K1601"/>
          <cell r="L1601"/>
        </row>
        <row r="1602">
          <cell r="E1602"/>
          <cell r="F1602"/>
          <cell r="I1602"/>
          <cell r="J1602"/>
          <cell r="K1602"/>
          <cell r="L1602"/>
        </row>
        <row r="1603">
          <cell r="E1603"/>
          <cell r="F1603"/>
          <cell r="I1603"/>
          <cell r="J1603"/>
          <cell r="K1603"/>
          <cell r="L1603"/>
        </row>
        <row r="1604">
          <cell r="E1604"/>
          <cell r="F1604"/>
          <cell r="I1604"/>
          <cell r="J1604"/>
          <cell r="K1604"/>
          <cell r="L1604"/>
        </row>
        <row r="1605">
          <cell r="E1605"/>
          <cell r="F1605"/>
          <cell r="I1605"/>
          <cell r="J1605"/>
          <cell r="K1605"/>
          <cell r="L1605"/>
        </row>
        <row r="1606">
          <cell r="E1606"/>
          <cell r="F1606"/>
          <cell r="I1606"/>
          <cell r="J1606"/>
          <cell r="K1606"/>
          <cell r="L1606"/>
        </row>
        <row r="1607">
          <cell r="E1607"/>
          <cell r="F1607"/>
          <cell r="I1607"/>
          <cell r="J1607"/>
          <cell r="K1607"/>
          <cell r="L1607"/>
        </row>
        <row r="1608">
          <cell r="E1608"/>
          <cell r="F1608"/>
          <cell r="I1608"/>
          <cell r="J1608"/>
          <cell r="K1608"/>
          <cell r="L1608"/>
        </row>
        <row r="1609">
          <cell r="E1609"/>
          <cell r="F1609"/>
          <cell r="I1609"/>
          <cell r="J1609"/>
          <cell r="K1609"/>
          <cell r="L1609"/>
        </row>
        <row r="1610">
          <cell r="E1610"/>
          <cell r="F1610"/>
          <cell r="I1610"/>
          <cell r="J1610"/>
          <cell r="K1610"/>
          <cell r="L1610"/>
        </row>
        <row r="1611">
          <cell r="E1611"/>
          <cell r="F1611"/>
          <cell r="I1611"/>
          <cell r="J1611"/>
          <cell r="K1611"/>
          <cell r="L1611"/>
        </row>
        <row r="1612">
          <cell r="E1612"/>
          <cell r="F1612"/>
          <cell r="I1612"/>
          <cell r="J1612"/>
          <cell r="K1612"/>
          <cell r="L1612"/>
        </row>
        <row r="1613">
          <cell r="E1613"/>
          <cell r="F1613"/>
          <cell r="I1613"/>
          <cell r="J1613"/>
          <cell r="K1613"/>
          <cell r="L1613"/>
        </row>
        <row r="1614">
          <cell r="E1614"/>
          <cell r="F1614"/>
          <cell r="I1614"/>
          <cell r="J1614"/>
          <cell r="K1614"/>
          <cell r="L1614"/>
        </row>
        <row r="1615">
          <cell r="E1615"/>
          <cell r="F1615"/>
          <cell r="I1615"/>
          <cell r="J1615"/>
          <cell r="K1615"/>
          <cell r="L1615"/>
        </row>
        <row r="1616">
          <cell r="E1616"/>
          <cell r="F1616"/>
          <cell r="I1616"/>
          <cell r="J1616"/>
          <cell r="K1616"/>
          <cell r="L1616"/>
        </row>
        <row r="1617">
          <cell r="E1617"/>
          <cell r="F1617"/>
          <cell r="I1617"/>
          <cell r="J1617"/>
          <cell r="K1617"/>
          <cell r="L1617"/>
        </row>
        <row r="1618">
          <cell r="E1618"/>
          <cell r="F1618"/>
          <cell r="I1618"/>
          <cell r="J1618"/>
          <cell r="K1618"/>
          <cell r="L1618"/>
        </row>
        <row r="1619">
          <cell r="E1619"/>
          <cell r="F1619"/>
          <cell r="I1619"/>
          <cell r="J1619"/>
          <cell r="K1619"/>
          <cell r="L1619"/>
        </row>
        <row r="1620">
          <cell r="E1620"/>
          <cell r="F1620"/>
          <cell r="I1620"/>
          <cell r="J1620"/>
          <cell r="K1620"/>
          <cell r="L1620"/>
        </row>
        <row r="1621">
          <cell r="E1621"/>
          <cell r="F1621"/>
          <cell r="I1621"/>
          <cell r="J1621"/>
          <cell r="K1621"/>
          <cell r="L1621"/>
        </row>
        <row r="1622">
          <cell r="E1622"/>
          <cell r="F1622"/>
          <cell r="I1622"/>
          <cell r="J1622"/>
          <cell r="K1622"/>
          <cell r="L1622"/>
        </row>
        <row r="1623">
          <cell r="E1623"/>
          <cell r="F1623"/>
          <cell r="I1623"/>
          <cell r="J1623"/>
          <cell r="K1623"/>
          <cell r="L1623"/>
        </row>
        <row r="1624">
          <cell r="E1624"/>
          <cell r="F1624"/>
          <cell r="I1624"/>
          <cell r="J1624"/>
          <cell r="K1624"/>
          <cell r="L1624"/>
        </row>
        <row r="1625">
          <cell r="E1625"/>
          <cell r="F1625"/>
          <cell r="I1625"/>
          <cell r="J1625"/>
          <cell r="K1625"/>
          <cell r="L1625"/>
        </row>
        <row r="1626">
          <cell r="E1626"/>
          <cell r="F1626"/>
          <cell r="I1626"/>
          <cell r="J1626"/>
          <cell r="K1626"/>
          <cell r="L1626"/>
        </row>
        <row r="1627">
          <cell r="E1627"/>
          <cell r="F1627"/>
          <cell r="I1627"/>
          <cell r="J1627"/>
          <cell r="K1627"/>
          <cell r="L1627"/>
        </row>
        <row r="1628">
          <cell r="E1628"/>
          <cell r="F1628"/>
          <cell r="I1628"/>
          <cell r="J1628"/>
          <cell r="K1628"/>
          <cell r="L1628"/>
        </row>
        <row r="1629">
          <cell r="E1629"/>
          <cell r="F1629"/>
          <cell r="I1629"/>
          <cell r="J1629"/>
          <cell r="K1629"/>
          <cell r="L1629"/>
        </row>
        <row r="1630">
          <cell r="E1630"/>
          <cell r="F1630"/>
          <cell r="I1630"/>
          <cell r="J1630"/>
          <cell r="K1630"/>
          <cell r="L1630"/>
        </row>
        <row r="1631">
          <cell r="E1631"/>
          <cell r="F1631"/>
          <cell r="I1631"/>
          <cell r="J1631"/>
          <cell r="K1631"/>
          <cell r="L1631"/>
        </row>
        <row r="1632">
          <cell r="E1632"/>
          <cell r="F1632"/>
          <cell r="I1632"/>
          <cell r="J1632"/>
          <cell r="K1632"/>
          <cell r="L1632"/>
        </row>
        <row r="1633">
          <cell r="E1633"/>
          <cell r="F1633"/>
          <cell r="I1633"/>
          <cell r="J1633"/>
          <cell r="K1633"/>
          <cell r="L1633"/>
        </row>
        <row r="1634">
          <cell r="E1634"/>
          <cell r="F1634"/>
          <cell r="I1634"/>
          <cell r="J1634"/>
          <cell r="K1634"/>
          <cell r="L1634"/>
        </row>
        <row r="1635">
          <cell r="E1635"/>
          <cell r="F1635"/>
          <cell r="I1635"/>
          <cell r="J1635"/>
          <cell r="K1635"/>
          <cell r="L1635"/>
        </row>
        <row r="1636">
          <cell r="E1636"/>
          <cell r="F1636"/>
          <cell r="I1636"/>
          <cell r="J1636"/>
          <cell r="K1636"/>
          <cell r="L1636"/>
        </row>
        <row r="1637">
          <cell r="E1637"/>
          <cell r="F1637"/>
          <cell r="I1637"/>
          <cell r="J1637"/>
          <cell r="K1637"/>
          <cell r="L1637"/>
        </row>
        <row r="1638">
          <cell r="E1638"/>
          <cell r="F1638"/>
          <cell r="I1638"/>
          <cell r="J1638"/>
          <cell r="K1638"/>
          <cell r="L1638"/>
        </row>
        <row r="1639">
          <cell r="E1639"/>
          <cell r="F1639"/>
          <cell r="I1639"/>
          <cell r="J1639"/>
          <cell r="K1639"/>
          <cell r="L1639"/>
        </row>
        <row r="1640">
          <cell r="E1640"/>
          <cell r="F1640"/>
          <cell r="I1640"/>
          <cell r="J1640"/>
          <cell r="K1640"/>
          <cell r="L1640"/>
        </row>
        <row r="1641">
          <cell r="E1641"/>
          <cell r="F1641"/>
          <cell r="I1641"/>
          <cell r="J1641"/>
          <cell r="K1641"/>
          <cell r="L1641"/>
        </row>
        <row r="1642">
          <cell r="E1642"/>
          <cell r="F1642"/>
          <cell r="I1642"/>
          <cell r="J1642"/>
          <cell r="K1642"/>
          <cell r="L1642"/>
        </row>
        <row r="1643">
          <cell r="E1643"/>
          <cell r="F1643"/>
          <cell r="I1643"/>
          <cell r="J1643"/>
          <cell r="K1643"/>
          <cell r="L1643"/>
        </row>
        <row r="1644">
          <cell r="E1644"/>
          <cell r="F1644"/>
          <cell r="I1644"/>
          <cell r="J1644"/>
          <cell r="K1644"/>
          <cell r="L1644"/>
        </row>
        <row r="1645">
          <cell r="E1645"/>
          <cell r="F1645"/>
          <cell r="I1645"/>
          <cell r="J1645"/>
          <cell r="K1645"/>
          <cell r="L1645"/>
        </row>
        <row r="1646">
          <cell r="E1646"/>
          <cell r="F1646"/>
          <cell r="I1646"/>
          <cell r="J1646"/>
          <cell r="K1646"/>
          <cell r="L1646"/>
        </row>
        <row r="1647">
          <cell r="E1647"/>
          <cell r="F1647"/>
          <cell r="I1647"/>
          <cell r="J1647"/>
          <cell r="K1647"/>
          <cell r="L1647"/>
        </row>
        <row r="1648">
          <cell r="E1648"/>
          <cell r="F1648"/>
          <cell r="I1648"/>
          <cell r="J1648"/>
          <cell r="K1648"/>
          <cell r="L1648"/>
        </row>
        <row r="1649">
          <cell r="E1649"/>
          <cell r="F1649"/>
          <cell r="I1649"/>
          <cell r="J1649"/>
          <cell r="K1649"/>
          <cell r="L1649"/>
        </row>
        <row r="1650">
          <cell r="E1650"/>
          <cell r="F1650"/>
          <cell r="I1650"/>
          <cell r="J1650"/>
          <cell r="K1650"/>
          <cell r="L1650"/>
        </row>
        <row r="1651">
          <cell r="E1651"/>
          <cell r="F1651"/>
          <cell r="I1651"/>
          <cell r="J1651"/>
          <cell r="K1651"/>
          <cell r="L1651"/>
        </row>
        <row r="1652">
          <cell r="E1652"/>
          <cell r="F1652"/>
          <cell r="I1652"/>
          <cell r="J1652"/>
          <cell r="K1652"/>
          <cell r="L1652"/>
        </row>
        <row r="1653">
          <cell r="E1653"/>
          <cell r="F1653"/>
          <cell r="I1653"/>
          <cell r="J1653"/>
          <cell r="K1653"/>
          <cell r="L1653"/>
        </row>
        <row r="1654">
          <cell r="E1654"/>
          <cell r="F1654"/>
          <cell r="I1654"/>
          <cell r="J1654"/>
          <cell r="K1654"/>
          <cell r="L1654"/>
        </row>
        <row r="1655">
          <cell r="E1655"/>
          <cell r="F1655"/>
          <cell r="I1655"/>
          <cell r="J1655"/>
          <cell r="K1655"/>
          <cell r="L1655"/>
        </row>
        <row r="1656">
          <cell r="E1656"/>
          <cell r="F1656"/>
          <cell r="I1656"/>
          <cell r="J1656"/>
          <cell r="K1656"/>
          <cell r="L1656"/>
        </row>
        <row r="1657">
          <cell r="E1657"/>
          <cell r="F1657"/>
          <cell r="I1657"/>
          <cell r="J1657"/>
          <cell r="K1657"/>
          <cell r="L1657"/>
        </row>
        <row r="1658">
          <cell r="E1658"/>
          <cell r="F1658"/>
          <cell r="I1658"/>
          <cell r="J1658"/>
          <cell r="K1658"/>
          <cell r="L1658"/>
        </row>
        <row r="1659">
          <cell r="E1659"/>
          <cell r="F1659"/>
          <cell r="I1659"/>
          <cell r="J1659"/>
          <cell r="K1659"/>
          <cell r="L1659"/>
        </row>
        <row r="1660">
          <cell r="E1660"/>
          <cell r="F1660"/>
          <cell r="I1660"/>
          <cell r="J1660"/>
          <cell r="K1660"/>
          <cell r="L1660"/>
        </row>
        <row r="1661">
          <cell r="E1661"/>
          <cell r="F1661"/>
          <cell r="I1661"/>
          <cell r="J1661"/>
          <cell r="K1661"/>
          <cell r="L1661"/>
        </row>
        <row r="1662">
          <cell r="E1662"/>
          <cell r="F1662"/>
          <cell r="I1662"/>
          <cell r="J1662"/>
          <cell r="K1662"/>
          <cell r="L1662"/>
        </row>
        <row r="1663">
          <cell r="E1663"/>
          <cell r="F1663"/>
          <cell r="I1663"/>
          <cell r="J1663"/>
          <cell r="K1663"/>
          <cell r="L1663"/>
        </row>
        <row r="1664">
          <cell r="E1664"/>
          <cell r="F1664"/>
          <cell r="I1664"/>
          <cell r="J1664"/>
          <cell r="K1664"/>
          <cell r="L1664"/>
        </row>
        <row r="1665">
          <cell r="E1665"/>
          <cell r="F1665"/>
          <cell r="I1665"/>
          <cell r="J1665"/>
          <cell r="K1665"/>
          <cell r="L1665"/>
        </row>
        <row r="1666">
          <cell r="E1666"/>
          <cell r="F1666"/>
          <cell r="I1666"/>
          <cell r="J1666"/>
          <cell r="K1666"/>
          <cell r="L1666"/>
        </row>
        <row r="1667">
          <cell r="E1667"/>
          <cell r="F1667"/>
          <cell r="I1667"/>
          <cell r="J1667"/>
          <cell r="K1667"/>
          <cell r="L1667"/>
        </row>
        <row r="1668">
          <cell r="E1668"/>
          <cell r="F1668"/>
          <cell r="I1668"/>
          <cell r="J1668"/>
          <cell r="K1668"/>
          <cell r="L1668"/>
        </row>
        <row r="1669">
          <cell r="E1669"/>
          <cell r="F1669"/>
          <cell r="I1669"/>
          <cell r="J1669"/>
          <cell r="K1669"/>
          <cell r="L1669"/>
        </row>
        <row r="1670">
          <cell r="E1670"/>
          <cell r="F1670"/>
          <cell r="I1670"/>
          <cell r="J1670"/>
          <cell r="K1670"/>
          <cell r="L1670"/>
        </row>
        <row r="1671">
          <cell r="E1671"/>
          <cell r="F1671"/>
          <cell r="I1671"/>
          <cell r="J1671"/>
          <cell r="K1671"/>
          <cell r="L1671"/>
        </row>
        <row r="1672">
          <cell r="E1672"/>
          <cell r="F1672"/>
          <cell r="I1672"/>
          <cell r="J1672"/>
          <cell r="K1672"/>
          <cell r="L1672"/>
        </row>
        <row r="1673">
          <cell r="E1673"/>
          <cell r="F1673"/>
          <cell r="I1673"/>
          <cell r="J1673"/>
          <cell r="K1673"/>
          <cell r="L1673"/>
        </row>
        <row r="1674">
          <cell r="E1674"/>
          <cell r="F1674"/>
          <cell r="I1674"/>
          <cell r="J1674"/>
          <cell r="K1674"/>
          <cell r="L1674"/>
        </row>
        <row r="1675">
          <cell r="E1675"/>
          <cell r="F1675"/>
          <cell r="I1675"/>
          <cell r="J1675"/>
          <cell r="K1675"/>
          <cell r="L1675"/>
        </row>
        <row r="1676">
          <cell r="E1676"/>
          <cell r="F1676"/>
          <cell r="I1676"/>
          <cell r="J1676"/>
          <cell r="K1676"/>
          <cell r="L1676"/>
        </row>
        <row r="1677">
          <cell r="E1677"/>
          <cell r="F1677"/>
          <cell r="I1677"/>
          <cell r="J1677"/>
          <cell r="K1677"/>
          <cell r="L1677"/>
        </row>
        <row r="1678">
          <cell r="E1678"/>
          <cell r="F1678"/>
          <cell r="I1678"/>
          <cell r="J1678"/>
          <cell r="K1678"/>
          <cell r="L1678"/>
        </row>
        <row r="1679">
          <cell r="E1679"/>
          <cell r="F1679"/>
          <cell r="I1679"/>
          <cell r="J1679"/>
          <cell r="K1679"/>
          <cell r="L1679"/>
        </row>
        <row r="1680">
          <cell r="E1680"/>
          <cell r="F1680"/>
          <cell r="I1680"/>
          <cell r="J1680"/>
          <cell r="K1680"/>
          <cell r="L1680"/>
        </row>
        <row r="1681">
          <cell r="E1681"/>
          <cell r="F1681"/>
          <cell r="I1681"/>
          <cell r="J1681"/>
          <cell r="K1681"/>
          <cell r="L1681"/>
        </row>
        <row r="1682">
          <cell r="E1682"/>
          <cell r="F1682"/>
          <cell r="I1682"/>
          <cell r="J1682"/>
          <cell r="K1682"/>
          <cell r="L1682"/>
        </row>
        <row r="1683">
          <cell r="E1683"/>
          <cell r="F1683"/>
          <cell r="I1683"/>
          <cell r="J1683"/>
          <cell r="K1683"/>
          <cell r="L1683"/>
        </row>
        <row r="1684">
          <cell r="E1684"/>
          <cell r="F1684"/>
          <cell r="I1684"/>
          <cell r="J1684"/>
          <cell r="K1684"/>
          <cell r="L1684"/>
        </row>
        <row r="1685">
          <cell r="E1685"/>
          <cell r="F1685"/>
          <cell r="I1685"/>
          <cell r="J1685"/>
          <cell r="K1685"/>
          <cell r="L1685"/>
        </row>
        <row r="1686">
          <cell r="E1686"/>
          <cell r="F1686"/>
          <cell r="I1686"/>
          <cell r="J1686"/>
          <cell r="K1686"/>
          <cell r="L1686"/>
        </row>
        <row r="1687">
          <cell r="E1687"/>
          <cell r="F1687"/>
          <cell r="I1687"/>
          <cell r="J1687"/>
          <cell r="K1687"/>
          <cell r="L1687"/>
        </row>
        <row r="1688">
          <cell r="E1688"/>
          <cell r="F1688"/>
          <cell r="I1688"/>
          <cell r="J1688"/>
          <cell r="K1688"/>
          <cell r="L1688"/>
        </row>
        <row r="1689">
          <cell r="E1689"/>
          <cell r="F1689"/>
          <cell r="I1689"/>
          <cell r="J1689"/>
          <cell r="K1689"/>
          <cell r="L1689"/>
        </row>
        <row r="1690">
          <cell r="E1690"/>
          <cell r="F1690"/>
          <cell r="I1690"/>
          <cell r="J1690"/>
          <cell r="K1690"/>
          <cell r="L1690"/>
        </row>
        <row r="1691">
          <cell r="E1691"/>
          <cell r="F1691"/>
          <cell r="I1691"/>
          <cell r="J1691"/>
          <cell r="K1691"/>
          <cell r="L1691"/>
        </row>
        <row r="1692">
          <cell r="E1692"/>
          <cell r="F1692"/>
          <cell r="I1692"/>
          <cell r="J1692"/>
          <cell r="K1692"/>
          <cell r="L1692"/>
        </row>
        <row r="1693">
          <cell r="E1693"/>
          <cell r="F1693"/>
          <cell r="I1693"/>
          <cell r="J1693"/>
          <cell r="K1693"/>
          <cell r="L1693"/>
        </row>
        <row r="1694">
          <cell r="E1694"/>
          <cell r="F1694"/>
          <cell r="I1694"/>
          <cell r="J1694"/>
          <cell r="K1694"/>
          <cell r="L1694"/>
        </row>
        <row r="1695">
          <cell r="E1695"/>
          <cell r="F1695"/>
          <cell r="I1695"/>
          <cell r="J1695"/>
          <cell r="K1695"/>
          <cell r="L1695"/>
        </row>
        <row r="1696">
          <cell r="E1696"/>
          <cell r="F1696"/>
          <cell r="I1696"/>
          <cell r="J1696"/>
          <cell r="K1696"/>
          <cell r="L1696"/>
        </row>
        <row r="1697">
          <cell r="E1697"/>
          <cell r="F1697"/>
          <cell r="I1697"/>
          <cell r="J1697"/>
          <cell r="K1697"/>
          <cell r="L1697"/>
        </row>
        <row r="1698">
          <cell r="E1698"/>
          <cell r="F1698"/>
          <cell r="I1698"/>
          <cell r="J1698"/>
          <cell r="K1698"/>
          <cell r="L1698"/>
        </row>
        <row r="1699">
          <cell r="E1699"/>
          <cell r="F1699"/>
          <cell r="I1699"/>
          <cell r="J1699"/>
          <cell r="K1699"/>
          <cell r="L1699"/>
        </row>
        <row r="1700">
          <cell r="E1700"/>
          <cell r="F1700"/>
          <cell r="I1700"/>
          <cell r="J1700"/>
          <cell r="K1700"/>
          <cell r="L1700"/>
        </row>
        <row r="1701">
          <cell r="E1701"/>
          <cell r="F1701"/>
          <cell r="I1701"/>
          <cell r="J1701"/>
          <cell r="K1701"/>
          <cell r="L1701"/>
        </row>
        <row r="1702">
          <cell r="E1702"/>
          <cell r="F1702"/>
          <cell r="I1702"/>
          <cell r="J1702"/>
          <cell r="K1702"/>
          <cell r="L1702"/>
        </row>
        <row r="1703">
          <cell r="E1703"/>
          <cell r="F1703"/>
          <cell r="I1703"/>
          <cell r="J1703"/>
          <cell r="K1703"/>
          <cell r="L1703"/>
        </row>
        <row r="1704">
          <cell r="E1704"/>
          <cell r="F1704"/>
          <cell r="I1704"/>
          <cell r="J1704"/>
          <cell r="K1704"/>
          <cell r="L1704"/>
        </row>
        <row r="1705">
          <cell r="E1705"/>
          <cell r="F1705"/>
          <cell r="I1705"/>
          <cell r="J1705"/>
          <cell r="K1705"/>
          <cell r="L1705"/>
        </row>
        <row r="1706">
          <cell r="E1706"/>
          <cell r="F1706"/>
          <cell r="I1706"/>
          <cell r="J1706"/>
          <cell r="K1706"/>
          <cell r="L1706"/>
        </row>
        <row r="1707">
          <cell r="E1707"/>
          <cell r="F1707"/>
          <cell r="I1707"/>
          <cell r="J1707"/>
          <cell r="K1707"/>
          <cell r="L1707"/>
        </row>
        <row r="1708">
          <cell r="E1708"/>
          <cell r="F1708"/>
          <cell r="I1708"/>
          <cell r="J1708"/>
          <cell r="K1708"/>
          <cell r="L1708"/>
        </row>
        <row r="1709">
          <cell r="E1709"/>
          <cell r="F1709"/>
          <cell r="I1709"/>
          <cell r="J1709"/>
          <cell r="K1709"/>
          <cell r="L1709"/>
        </row>
        <row r="1710">
          <cell r="E1710"/>
          <cell r="F1710"/>
          <cell r="I1710"/>
          <cell r="J1710"/>
          <cell r="K1710"/>
          <cell r="L1710"/>
        </row>
        <row r="1711">
          <cell r="E1711"/>
          <cell r="F1711"/>
          <cell r="I1711"/>
          <cell r="J1711"/>
          <cell r="K1711"/>
          <cell r="L1711"/>
        </row>
        <row r="1712">
          <cell r="E1712"/>
          <cell r="F1712"/>
          <cell r="I1712"/>
          <cell r="J1712"/>
          <cell r="K1712"/>
          <cell r="L1712"/>
        </row>
        <row r="1713">
          <cell r="E1713"/>
          <cell r="F1713"/>
          <cell r="I1713"/>
          <cell r="J1713"/>
          <cell r="K1713"/>
          <cell r="L1713"/>
        </row>
        <row r="1714">
          <cell r="E1714"/>
          <cell r="F1714"/>
          <cell r="I1714"/>
          <cell r="J1714"/>
          <cell r="K1714"/>
          <cell r="L1714"/>
        </row>
        <row r="1715">
          <cell r="E1715"/>
          <cell r="F1715"/>
          <cell r="I1715"/>
          <cell r="J1715"/>
          <cell r="K1715"/>
          <cell r="L1715"/>
        </row>
        <row r="1716">
          <cell r="E1716"/>
          <cell r="F1716"/>
          <cell r="I1716"/>
          <cell r="J1716"/>
          <cell r="K1716"/>
          <cell r="L1716"/>
        </row>
        <row r="1717">
          <cell r="E1717"/>
          <cell r="F1717"/>
          <cell r="I1717"/>
          <cell r="J1717"/>
          <cell r="K1717"/>
          <cell r="L1717"/>
        </row>
        <row r="1718">
          <cell r="E1718"/>
          <cell r="F1718"/>
          <cell r="I1718"/>
          <cell r="J1718"/>
          <cell r="K1718"/>
          <cell r="L1718"/>
        </row>
        <row r="1719">
          <cell r="E1719"/>
          <cell r="F1719"/>
          <cell r="I1719"/>
          <cell r="J1719"/>
          <cell r="K1719"/>
          <cell r="L1719"/>
        </row>
        <row r="1720">
          <cell r="E1720"/>
          <cell r="F1720"/>
          <cell r="I1720"/>
          <cell r="J1720"/>
          <cell r="K1720"/>
          <cell r="L1720"/>
        </row>
        <row r="1721">
          <cell r="E1721"/>
          <cell r="F1721"/>
          <cell r="I1721"/>
          <cell r="J1721"/>
          <cell r="K1721"/>
          <cell r="L1721"/>
        </row>
        <row r="1722">
          <cell r="E1722"/>
          <cell r="F1722"/>
          <cell r="I1722"/>
          <cell r="J1722"/>
          <cell r="K1722"/>
          <cell r="L1722"/>
        </row>
        <row r="1723">
          <cell r="E1723"/>
          <cell r="F1723"/>
          <cell r="I1723"/>
          <cell r="J1723"/>
          <cell r="K1723"/>
          <cell r="L1723"/>
        </row>
        <row r="1724">
          <cell r="E1724"/>
          <cell r="F1724"/>
          <cell r="I1724"/>
          <cell r="J1724"/>
          <cell r="K1724"/>
          <cell r="L1724"/>
        </row>
        <row r="1725">
          <cell r="E1725"/>
          <cell r="F1725"/>
          <cell r="I1725"/>
          <cell r="J1725"/>
          <cell r="K1725"/>
          <cell r="L1725"/>
        </row>
        <row r="1726">
          <cell r="E1726"/>
          <cell r="F1726"/>
          <cell r="I1726"/>
          <cell r="J1726"/>
          <cell r="K1726"/>
          <cell r="L1726"/>
        </row>
        <row r="1727">
          <cell r="E1727"/>
          <cell r="F1727"/>
          <cell r="I1727"/>
          <cell r="J1727"/>
          <cell r="K1727"/>
          <cell r="L1727"/>
        </row>
        <row r="1728">
          <cell r="E1728"/>
          <cell r="F1728"/>
          <cell r="I1728"/>
          <cell r="J1728"/>
          <cell r="K1728"/>
          <cell r="L1728"/>
        </row>
        <row r="1729">
          <cell r="E1729"/>
          <cell r="F1729"/>
          <cell r="I1729"/>
          <cell r="J1729"/>
          <cell r="K1729"/>
          <cell r="L1729"/>
        </row>
        <row r="1730">
          <cell r="E1730"/>
          <cell r="F1730"/>
          <cell r="I1730"/>
          <cell r="J1730"/>
          <cell r="K1730"/>
          <cell r="L1730"/>
        </row>
        <row r="1731">
          <cell r="E1731"/>
          <cell r="F1731"/>
          <cell r="I1731"/>
          <cell r="J1731"/>
          <cell r="K1731"/>
          <cell r="L1731"/>
        </row>
        <row r="1732">
          <cell r="E1732"/>
          <cell r="F1732"/>
          <cell r="I1732"/>
          <cell r="J1732"/>
          <cell r="K1732"/>
          <cell r="L1732"/>
        </row>
        <row r="1733">
          <cell r="E1733"/>
          <cell r="F1733"/>
          <cell r="I1733"/>
          <cell r="J1733"/>
          <cell r="K1733"/>
          <cell r="L1733"/>
        </row>
        <row r="1734">
          <cell r="E1734"/>
          <cell r="F1734"/>
          <cell r="I1734"/>
          <cell r="J1734"/>
          <cell r="K1734"/>
          <cell r="L1734"/>
        </row>
        <row r="1735">
          <cell r="E1735"/>
          <cell r="F1735"/>
          <cell r="I1735"/>
          <cell r="J1735"/>
          <cell r="K1735"/>
          <cell r="L1735"/>
        </row>
        <row r="1736">
          <cell r="E1736"/>
          <cell r="F1736"/>
          <cell r="I1736"/>
          <cell r="J1736"/>
          <cell r="K1736"/>
          <cell r="L1736"/>
        </row>
        <row r="1737">
          <cell r="E1737"/>
          <cell r="F1737"/>
          <cell r="I1737"/>
          <cell r="J1737"/>
          <cell r="K1737"/>
          <cell r="L1737"/>
        </row>
        <row r="1738">
          <cell r="E1738"/>
          <cell r="F1738"/>
          <cell r="I1738"/>
          <cell r="J1738"/>
          <cell r="K1738"/>
          <cell r="L1738"/>
        </row>
        <row r="1739">
          <cell r="E1739"/>
          <cell r="F1739"/>
          <cell r="I1739"/>
          <cell r="J1739"/>
          <cell r="K1739"/>
          <cell r="L1739"/>
        </row>
        <row r="1740">
          <cell r="E1740"/>
          <cell r="F1740"/>
          <cell r="I1740"/>
          <cell r="J1740"/>
          <cell r="K1740"/>
          <cell r="L1740"/>
        </row>
        <row r="1741">
          <cell r="E1741"/>
          <cell r="F1741"/>
          <cell r="I1741"/>
          <cell r="J1741"/>
          <cell r="K1741"/>
          <cell r="L1741"/>
        </row>
        <row r="1742">
          <cell r="E1742"/>
          <cell r="F1742"/>
          <cell r="I1742"/>
          <cell r="J1742"/>
          <cell r="K1742"/>
          <cell r="L1742"/>
        </row>
        <row r="1743">
          <cell r="E1743"/>
          <cell r="F1743"/>
          <cell r="I1743"/>
          <cell r="J1743"/>
          <cell r="K1743"/>
          <cell r="L1743"/>
        </row>
        <row r="1744">
          <cell r="E1744"/>
          <cell r="F1744"/>
          <cell r="I1744"/>
          <cell r="J1744"/>
          <cell r="K1744"/>
          <cell r="L1744"/>
        </row>
        <row r="1745">
          <cell r="E1745"/>
          <cell r="F1745"/>
          <cell r="I1745"/>
          <cell r="J1745"/>
          <cell r="K1745"/>
          <cell r="L1745"/>
        </row>
        <row r="1746">
          <cell r="E1746"/>
          <cell r="F1746"/>
          <cell r="I1746"/>
          <cell r="J1746"/>
          <cell r="K1746"/>
          <cell r="L1746"/>
        </row>
        <row r="1747">
          <cell r="E1747"/>
          <cell r="F1747"/>
          <cell r="I1747"/>
          <cell r="J1747"/>
          <cell r="K1747"/>
          <cell r="L1747"/>
        </row>
        <row r="1748">
          <cell r="E1748"/>
          <cell r="F1748"/>
          <cell r="I1748"/>
          <cell r="J1748"/>
          <cell r="K1748"/>
          <cell r="L1748"/>
        </row>
        <row r="1749">
          <cell r="E1749"/>
          <cell r="F1749"/>
          <cell r="I1749"/>
          <cell r="J1749"/>
          <cell r="K1749"/>
          <cell r="L1749"/>
        </row>
        <row r="1750">
          <cell r="E1750"/>
          <cell r="F1750"/>
          <cell r="I1750"/>
          <cell r="J1750"/>
          <cell r="K1750"/>
          <cell r="L1750"/>
        </row>
        <row r="1751">
          <cell r="E1751"/>
          <cell r="F1751"/>
          <cell r="I1751"/>
          <cell r="J1751"/>
          <cell r="K1751"/>
          <cell r="L1751"/>
        </row>
        <row r="1752">
          <cell r="E1752"/>
          <cell r="F1752"/>
          <cell r="I1752"/>
          <cell r="J1752"/>
          <cell r="K1752"/>
          <cell r="L1752"/>
        </row>
        <row r="1753">
          <cell r="E1753"/>
          <cell r="F1753"/>
          <cell r="I1753"/>
          <cell r="J1753"/>
          <cell r="K1753"/>
          <cell r="L1753"/>
        </row>
        <row r="1754">
          <cell r="E1754"/>
          <cell r="F1754"/>
          <cell r="I1754"/>
          <cell r="J1754"/>
          <cell r="K1754"/>
          <cell r="L1754"/>
        </row>
        <row r="1755">
          <cell r="E1755"/>
          <cell r="F1755"/>
          <cell r="I1755"/>
          <cell r="J1755"/>
          <cell r="K1755"/>
          <cell r="L1755"/>
        </row>
        <row r="1756">
          <cell r="E1756"/>
          <cell r="F1756"/>
          <cell r="I1756"/>
          <cell r="J1756"/>
          <cell r="K1756"/>
          <cell r="L1756"/>
        </row>
        <row r="1757">
          <cell r="E1757"/>
          <cell r="F1757"/>
          <cell r="I1757"/>
          <cell r="J1757"/>
          <cell r="K1757"/>
          <cell r="L1757"/>
        </row>
        <row r="1758">
          <cell r="E1758"/>
          <cell r="F1758"/>
          <cell r="I1758"/>
          <cell r="J1758"/>
          <cell r="K1758"/>
          <cell r="L1758"/>
        </row>
        <row r="1759">
          <cell r="E1759"/>
          <cell r="F1759"/>
          <cell r="I1759"/>
          <cell r="J1759"/>
          <cell r="K1759"/>
          <cell r="L1759"/>
        </row>
        <row r="1760">
          <cell r="E1760"/>
          <cell r="F1760"/>
          <cell r="I1760"/>
          <cell r="J1760"/>
          <cell r="K1760"/>
          <cell r="L1760"/>
        </row>
        <row r="1761">
          <cell r="E1761"/>
          <cell r="F1761"/>
          <cell r="I1761"/>
          <cell r="J1761"/>
          <cell r="K1761"/>
          <cell r="L1761"/>
        </row>
        <row r="1762">
          <cell r="E1762"/>
          <cell r="F1762"/>
          <cell r="I1762"/>
          <cell r="J1762"/>
          <cell r="K1762"/>
          <cell r="L1762"/>
        </row>
        <row r="1763">
          <cell r="E1763"/>
          <cell r="F1763"/>
          <cell r="I1763"/>
          <cell r="J1763"/>
          <cell r="K1763"/>
          <cell r="L1763"/>
        </row>
        <row r="1764">
          <cell r="E1764"/>
          <cell r="F1764"/>
          <cell r="I1764"/>
          <cell r="J1764"/>
          <cell r="K1764"/>
          <cell r="L1764"/>
        </row>
        <row r="1765">
          <cell r="E1765"/>
          <cell r="F1765"/>
          <cell r="I1765"/>
          <cell r="J1765"/>
          <cell r="K1765"/>
          <cell r="L1765"/>
        </row>
        <row r="1766">
          <cell r="E1766"/>
          <cell r="F1766"/>
          <cell r="I1766"/>
          <cell r="J1766"/>
          <cell r="K1766"/>
          <cell r="L1766"/>
        </row>
        <row r="1767">
          <cell r="E1767"/>
          <cell r="F1767"/>
          <cell r="I1767"/>
          <cell r="J1767"/>
          <cell r="K1767"/>
          <cell r="L1767"/>
        </row>
        <row r="1768">
          <cell r="E1768"/>
          <cell r="F1768"/>
          <cell r="I1768"/>
          <cell r="J1768"/>
          <cell r="K1768"/>
          <cell r="L1768"/>
        </row>
        <row r="1769">
          <cell r="E1769"/>
          <cell r="F1769"/>
          <cell r="I1769"/>
          <cell r="J1769"/>
          <cell r="K1769"/>
          <cell r="L1769"/>
        </row>
        <row r="1770">
          <cell r="E1770"/>
          <cell r="F1770"/>
          <cell r="I1770"/>
          <cell r="J1770"/>
          <cell r="K1770"/>
          <cell r="L1770"/>
        </row>
        <row r="1771">
          <cell r="E1771"/>
          <cell r="F1771"/>
          <cell r="I1771"/>
          <cell r="J1771"/>
          <cell r="K1771"/>
          <cell r="L1771"/>
        </row>
        <row r="1772">
          <cell r="E1772"/>
          <cell r="F1772"/>
          <cell r="I1772"/>
          <cell r="J1772"/>
          <cell r="K1772"/>
          <cell r="L1772"/>
        </row>
        <row r="1773">
          <cell r="E1773"/>
          <cell r="F1773"/>
          <cell r="I1773"/>
          <cell r="J1773"/>
          <cell r="K1773"/>
          <cell r="L1773"/>
        </row>
        <row r="1774">
          <cell r="E1774"/>
          <cell r="F1774"/>
          <cell r="I1774"/>
          <cell r="J1774"/>
          <cell r="K1774"/>
          <cell r="L1774"/>
        </row>
        <row r="1775">
          <cell r="E1775"/>
          <cell r="F1775"/>
          <cell r="I1775"/>
          <cell r="J1775"/>
          <cell r="K1775"/>
          <cell r="L1775"/>
        </row>
        <row r="1776">
          <cell r="E1776"/>
          <cell r="F1776"/>
          <cell r="I1776"/>
          <cell r="J1776"/>
          <cell r="K1776"/>
          <cell r="L1776"/>
        </row>
        <row r="1777">
          <cell r="E1777"/>
          <cell r="F1777"/>
          <cell r="I1777"/>
          <cell r="J1777"/>
          <cell r="K1777"/>
          <cell r="L1777"/>
        </row>
        <row r="1778">
          <cell r="E1778"/>
          <cell r="F1778"/>
          <cell r="I1778"/>
          <cell r="J1778"/>
          <cell r="K1778"/>
          <cell r="L1778"/>
        </row>
        <row r="1779">
          <cell r="E1779"/>
          <cell r="F1779"/>
          <cell r="I1779"/>
          <cell r="J1779"/>
          <cell r="K1779"/>
          <cell r="L1779"/>
        </row>
        <row r="1780">
          <cell r="E1780"/>
          <cell r="F1780"/>
          <cell r="I1780"/>
          <cell r="J1780"/>
          <cell r="K1780"/>
          <cell r="L1780"/>
        </row>
        <row r="1781">
          <cell r="E1781"/>
          <cell r="F1781"/>
          <cell r="I1781"/>
          <cell r="J1781"/>
          <cell r="K1781"/>
          <cell r="L1781"/>
        </row>
        <row r="1782">
          <cell r="E1782"/>
          <cell r="F1782"/>
          <cell r="I1782"/>
          <cell r="J1782"/>
          <cell r="K1782"/>
          <cell r="L1782"/>
        </row>
        <row r="1783">
          <cell r="E1783"/>
          <cell r="F1783"/>
          <cell r="I1783"/>
          <cell r="J1783"/>
          <cell r="K1783"/>
          <cell r="L1783"/>
        </row>
        <row r="1784">
          <cell r="E1784"/>
          <cell r="F1784"/>
          <cell r="I1784"/>
          <cell r="J1784"/>
          <cell r="K1784"/>
          <cell r="L1784"/>
        </row>
        <row r="1785">
          <cell r="E1785"/>
          <cell r="F1785"/>
          <cell r="I1785"/>
          <cell r="J1785"/>
          <cell r="K1785"/>
          <cell r="L1785"/>
        </row>
        <row r="1786">
          <cell r="E1786"/>
          <cell r="F1786"/>
          <cell r="I1786"/>
          <cell r="J1786"/>
          <cell r="K1786"/>
          <cell r="L1786"/>
        </row>
        <row r="1787">
          <cell r="E1787"/>
          <cell r="F1787"/>
          <cell r="I1787"/>
          <cell r="J1787"/>
          <cell r="K1787"/>
          <cell r="L1787"/>
        </row>
        <row r="1788">
          <cell r="E1788"/>
          <cell r="F1788"/>
          <cell r="I1788"/>
          <cell r="J1788"/>
          <cell r="K1788"/>
          <cell r="L1788"/>
        </row>
        <row r="1789">
          <cell r="E1789"/>
          <cell r="F1789"/>
          <cell r="I1789"/>
          <cell r="J1789"/>
          <cell r="K1789"/>
          <cell r="L1789"/>
        </row>
        <row r="1790">
          <cell r="E1790"/>
          <cell r="F1790"/>
          <cell r="I1790"/>
          <cell r="J1790"/>
          <cell r="K1790"/>
          <cell r="L1790"/>
        </row>
        <row r="1791">
          <cell r="E1791"/>
          <cell r="F1791"/>
          <cell r="I1791"/>
          <cell r="J1791"/>
          <cell r="K1791"/>
          <cell r="L1791"/>
        </row>
        <row r="1792">
          <cell r="E1792"/>
          <cell r="F1792"/>
          <cell r="I1792"/>
          <cell r="J1792"/>
          <cell r="K1792"/>
          <cell r="L1792"/>
        </row>
        <row r="1793">
          <cell r="E1793"/>
          <cell r="F1793"/>
          <cell r="I1793"/>
          <cell r="J1793"/>
          <cell r="K1793"/>
          <cell r="L1793"/>
        </row>
        <row r="1794">
          <cell r="E1794"/>
          <cell r="F1794"/>
          <cell r="I1794"/>
          <cell r="J1794"/>
          <cell r="K1794"/>
          <cell r="L1794"/>
        </row>
        <row r="1795">
          <cell r="E1795"/>
          <cell r="F1795"/>
          <cell r="I1795"/>
          <cell r="J1795"/>
          <cell r="K1795"/>
          <cell r="L1795"/>
        </row>
        <row r="1796">
          <cell r="E1796"/>
          <cell r="F1796"/>
          <cell r="I1796"/>
          <cell r="J1796"/>
          <cell r="K1796"/>
          <cell r="L1796"/>
        </row>
        <row r="1797">
          <cell r="E1797"/>
          <cell r="F1797"/>
          <cell r="I1797"/>
          <cell r="J1797"/>
          <cell r="K1797"/>
          <cell r="L1797"/>
        </row>
      </sheetData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oao Vieira" id="{5A714FA7-0C1C-4BF7-9C21-6F9BF4DE6E05}" userId="S::Joao_Vieira@cotyinc.com::1d7bd8d0-cef0-48a6-8146-7c427df557e2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79" dT="2026-03-27T12:43:38.21" personId="{5A714FA7-0C1C-4BF7-9C21-6F9BF4DE6E05}" id="{6B3E3BD4-DC1D-4E0E-A4F9-9A2E1F356D36}">
    <text>Vai no Leite de Colônia Original</text>
  </threadedComment>
  <threadedComment ref="A184" dT="2026-03-27T12:43:47.33" personId="{5A714FA7-0C1C-4BF7-9C21-6F9BF4DE6E05}" id="{C90C5000-6129-47F8-BCA3-E3290F173B4C}">
    <text>Vai em Shampoo e Sabonete Liquido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4" tint="-0.499984740745262"/>
    <pageSetUpPr fitToPage="1"/>
  </sheetPr>
  <dimension ref="A1:AJ889"/>
  <sheetViews>
    <sheetView showGridLines="0" tabSelected="1" topLeftCell="B1" zoomScale="70" zoomScaleNormal="70" zoomScaleSheetLayoutView="55" zoomScalePageLayoutView="55" workbookViewId="0">
      <selection activeCell="S4" sqref="S4:S7"/>
    </sheetView>
  </sheetViews>
  <sheetFormatPr defaultColWidth="3.5703125" defaultRowHeight="15.75" outlineLevelRow="1" outlineLevelCol="1" x14ac:dyDescent="0.25"/>
  <cols>
    <col min="1" max="1" width="12" style="1" customWidth="1"/>
    <col min="2" max="2" width="16.7109375" style="1" customWidth="1"/>
    <col min="3" max="3" width="16.7109375" style="6" customWidth="1"/>
    <col min="4" max="4" width="14.42578125" style="8" customWidth="1"/>
    <col min="5" max="5" width="17.28515625" style="8" hidden="1" customWidth="1" outlineLevel="1"/>
    <col min="6" max="6" width="14.42578125" style="8" hidden="1" customWidth="1" outlineLevel="1"/>
    <col min="7" max="7" width="12.85546875" style="8" customWidth="1" collapsed="1"/>
    <col min="8" max="8" width="65.28515625" style="8" customWidth="1"/>
    <col min="9" max="10" width="16.85546875" style="14" customWidth="1"/>
    <col min="11" max="13" width="4.42578125" style="14" hidden="1" customWidth="1"/>
    <col min="14" max="14" width="15.140625" style="14" hidden="1" customWidth="1"/>
    <col min="15" max="15" width="49.85546875" style="152" customWidth="1"/>
    <col min="16" max="16" width="50.28515625" style="8" customWidth="1"/>
    <col min="17" max="17" width="2.140625" customWidth="1"/>
    <col min="18" max="18" width="15.42578125" style="8" bestFit="1" customWidth="1"/>
    <col min="19" max="19" width="54.5703125" style="8" bestFit="1" customWidth="1"/>
    <col min="20" max="20" width="16.7109375" style="2" customWidth="1"/>
    <col min="21" max="21" width="15" style="3" hidden="1" customWidth="1" outlineLevel="1"/>
    <col min="22" max="22" width="15" style="4" hidden="1" customWidth="1" outlineLevel="1"/>
    <col min="23" max="23" width="15" style="4" customWidth="1" collapsed="1"/>
    <col min="24" max="24" width="15" style="4" customWidth="1"/>
    <col min="25" max="25" width="16.28515625" customWidth="1"/>
    <col min="26" max="26" width="16.28515625" style="28" customWidth="1"/>
    <col min="27" max="27" width="24.42578125" style="28" customWidth="1"/>
    <col min="28" max="28" width="15.42578125" style="28" customWidth="1"/>
    <col min="29" max="29" width="47.85546875" style="27" customWidth="1" collapsed="1"/>
    <col min="30" max="30" width="15.42578125" style="28" customWidth="1"/>
    <col min="31" max="31" width="11.140625" style="28" customWidth="1"/>
    <col min="32" max="32" width="6.85546875" customWidth="1"/>
    <col min="33" max="33" width="9.28515625" bestFit="1" customWidth="1"/>
    <col min="34" max="34" width="6" bestFit="1" customWidth="1"/>
    <col min="35" max="35" width="45" bestFit="1" customWidth="1"/>
  </cols>
  <sheetData>
    <row r="1" spans="1:36" ht="16.5" thickBot="1" x14ac:dyDescent="0.3">
      <c r="A1" s="19"/>
      <c r="B1" s="19"/>
      <c r="C1" s="19"/>
      <c r="D1" s="19"/>
      <c r="E1" s="19"/>
      <c r="F1" s="19"/>
      <c r="G1" s="19"/>
      <c r="H1"/>
      <c r="I1" s="19"/>
      <c r="J1"/>
      <c r="K1"/>
      <c r="L1"/>
      <c r="M1"/>
      <c r="N1"/>
      <c r="P1" s="14"/>
    </row>
    <row r="2" spans="1:36" ht="27" customHeight="1" thickBot="1" x14ac:dyDescent="0.3">
      <c r="A2" s="317" t="s">
        <v>804</v>
      </c>
      <c r="B2" s="317"/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R2" s="318" t="s">
        <v>487</v>
      </c>
      <c r="S2" s="319"/>
      <c r="T2" s="319"/>
      <c r="U2" s="319"/>
      <c r="V2" s="319"/>
      <c r="W2" s="319"/>
      <c r="X2" s="319"/>
    </row>
    <row r="3" spans="1:36" s="140" customFormat="1" ht="31.5" x14ac:dyDescent="0.25">
      <c r="A3" s="10" t="s">
        <v>489</v>
      </c>
      <c r="B3" s="10" t="s">
        <v>11</v>
      </c>
      <c r="C3" s="10" t="s">
        <v>3</v>
      </c>
      <c r="D3" s="11" t="s">
        <v>4</v>
      </c>
      <c r="E3" s="139" t="s">
        <v>778</v>
      </c>
      <c r="F3" s="139" t="s">
        <v>232</v>
      </c>
      <c r="G3" s="9" t="s">
        <v>2</v>
      </c>
      <c r="H3" s="9" t="s">
        <v>10</v>
      </c>
      <c r="I3" s="20" t="s">
        <v>507</v>
      </c>
      <c r="J3" s="20" t="s">
        <v>506</v>
      </c>
      <c r="K3" s="168" t="s">
        <v>515</v>
      </c>
      <c r="L3" s="168" t="s">
        <v>514</v>
      </c>
      <c r="M3" s="168" t="s">
        <v>513</v>
      </c>
      <c r="N3" s="109" t="s">
        <v>483</v>
      </c>
      <c r="O3" s="165" t="s">
        <v>5</v>
      </c>
      <c r="P3" s="142" t="s">
        <v>821</v>
      </c>
      <c r="Q3" s="166"/>
      <c r="R3" s="18" t="s">
        <v>12</v>
      </c>
      <c r="S3" s="110" t="s">
        <v>13</v>
      </c>
      <c r="T3" s="9" t="s">
        <v>11</v>
      </c>
      <c r="U3" s="141" t="s">
        <v>232</v>
      </c>
      <c r="V3" s="108" t="s">
        <v>484</v>
      </c>
      <c r="W3" s="11" t="s">
        <v>14</v>
      </c>
      <c r="X3" s="11" t="s">
        <v>265</v>
      </c>
      <c r="Z3" s="143"/>
      <c r="AA3" s="143"/>
      <c r="AB3" s="143"/>
      <c r="AC3" s="144"/>
      <c r="AD3" s="143"/>
      <c r="AE3" s="143"/>
    </row>
    <row r="4" spans="1:36" s="35" customFormat="1" ht="15.75" customHeight="1" x14ac:dyDescent="0.25">
      <c r="A4" s="98">
        <v>10</v>
      </c>
      <c r="B4" s="98">
        <v>1961282</v>
      </c>
      <c r="C4" s="73" t="s">
        <v>657</v>
      </c>
      <c r="D4" s="104">
        <v>9500</v>
      </c>
      <c r="E4" s="77">
        <f>_xlfn.XLOOKUP(B4,COHVPI!A:A,COHVPI!E:E,0,0,1)</f>
        <v>0</v>
      </c>
      <c r="F4" s="77" t="e">
        <f>_xlfn.XLOOKUP(B4,COHVPI!A:A,COHVPI!F:F)</f>
        <v>#N/A</v>
      </c>
      <c r="G4" s="74">
        <v>466337</v>
      </c>
      <c r="H4" s="111" t="s">
        <v>603</v>
      </c>
      <c r="I4" s="172">
        <v>46150</v>
      </c>
      <c r="J4" s="72">
        <v>46149</v>
      </c>
      <c r="K4" s="134"/>
      <c r="L4" s="134"/>
      <c r="M4" s="134"/>
      <c r="N4" s="135" t="e">
        <f>_xlfn.XLOOKUP('Linhas Rápidas'!B4,COHVPI!A:A,COHVPI!I:I)</f>
        <v>#N/A</v>
      </c>
      <c r="O4" s="115" t="s">
        <v>21</v>
      </c>
      <c r="P4" s="256" t="s">
        <v>820</v>
      </c>
      <c r="Q4"/>
      <c r="R4" s="261" t="s">
        <v>524</v>
      </c>
      <c r="S4" s="281" t="s">
        <v>525</v>
      </c>
      <c r="T4" s="267">
        <v>1962552</v>
      </c>
      <c r="U4" s="270">
        <f>_xlfn.XLOOKUP(T4,COHVPI!A:A,COHVPI!F:F)</f>
        <v>8260</v>
      </c>
      <c r="V4" s="273">
        <f>_xlfn.XLOOKUP(T4,COHVPI!A:A,COHVPI!I:I)</f>
        <v>46150</v>
      </c>
      <c r="W4" s="276">
        <f>X4/12</f>
        <v>9600</v>
      </c>
      <c r="X4" s="276">
        <v>115200</v>
      </c>
      <c r="Y4"/>
      <c r="Z4"/>
      <c r="AA4"/>
      <c r="AB4"/>
      <c r="AD4" t="e">
        <f>VLOOKUP(B4,COHVPI!A:N,14,0)</f>
        <v>#N/A</v>
      </c>
      <c r="AE4" s="95" t="e">
        <f>VLOOKUP(B4,COHVPI!A:E,5,0)</f>
        <v>#N/A</v>
      </c>
      <c r="AF4" s="95" t="e">
        <f t="shared" ref="AF4:AF22" si="0">AE4-D4</f>
        <v>#N/A</v>
      </c>
      <c r="AG4"/>
      <c r="AH4" s="67"/>
      <c r="AI4"/>
      <c r="AJ4" s="95"/>
    </row>
    <row r="5" spans="1:36" s="35" customFormat="1" ht="15.75" customHeight="1" x14ac:dyDescent="0.25">
      <c r="A5" s="98">
        <v>10</v>
      </c>
      <c r="B5" s="98">
        <v>1961283</v>
      </c>
      <c r="C5" s="73" t="s">
        <v>658</v>
      </c>
      <c r="D5" s="104">
        <v>9500</v>
      </c>
      <c r="E5" s="77">
        <f>_xlfn.XLOOKUP(B5,COHVPI!A:A,COHVPI!E:E,0,0,1)</f>
        <v>0</v>
      </c>
      <c r="F5" s="77" t="e">
        <f>_xlfn.XLOOKUP(B5,COHVPI!A:A,COHVPI!F:F)</f>
        <v>#N/A</v>
      </c>
      <c r="G5" s="74">
        <v>466337</v>
      </c>
      <c r="H5" s="111" t="s">
        <v>603</v>
      </c>
      <c r="I5" s="172">
        <v>46150</v>
      </c>
      <c r="J5" s="72">
        <v>46149</v>
      </c>
      <c r="K5" s="134"/>
      <c r="L5" s="134"/>
      <c r="M5" s="134"/>
      <c r="N5" s="135" t="e">
        <f>_xlfn.XLOOKUP('Linhas Rápidas'!B5,COHVPI!A:A,COHVPI!I:I)</f>
        <v>#N/A</v>
      </c>
      <c r="O5" s="115" t="s">
        <v>21</v>
      </c>
      <c r="P5" s="256" t="s">
        <v>820</v>
      </c>
      <c r="Q5"/>
      <c r="R5" s="262"/>
      <c r="S5" s="265"/>
      <c r="T5" s="268"/>
      <c r="U5" s="271"/>
      <c r="V5" s="274"/>
      <c r="W5" s="277"/>
      <c r="X5" s="277"/>
      <c r="Y5"/>
      <c r="Z5"/>
      <c r="AA5"/>
      <c r="AB5"/>
      <c r="AD5" t="e">
        <f>VLOOKUP(B5,COHVPI!A:N,14,0)</f>
        <v>#N/A</v>
      </c>
      <c r="AE5" s="95" t="e">
        <f>VLOOKUP(B5,COHVPI!A:E,5,0)</f>
        <v>#N/A</v>
      </c>
      <c r="AF5" s="95" t="e">
        <f t="shared" si="0"/>
        <v>#N/A</v>
      </c>
      <c r="AG5"/>
      <c r="AH5" s="67"/>
      <c r="AI5"/>
      <c r="AJ5" s="95"/>
    </row>
    <row r="6" spans="1:36" s="35" customFormat="1" ht="15.75" customHeight="1" x14ac:dyDescent="0.25">
      <c r="A6" s="98">
        <v>10</v>
      </c>
      <c r="B6" s="98">
        <v>1961284</v>
      </c>
      <c r="C6" s="73" t="s">
        <v>659</v>
      </c>
      <c r="D6" s="104">
        <v>9500</v>
      </c>
      <c r="E6" s="77">
        <f>_xlfn.XLOOKUP(B6,COHVPI!A:A,COHVPI!E:E,0,0,1)</f>
        <v>0</v>
      </c>
      <c r="F6" s="77" t="e">
        <f>_xlfn.XLOOKUP(B6,COHVPI!A:A,COHVPI!F:F)</f>
        <v>#N/A</v>
      </c>
      <c r="G6" s="74">
        <v>466337</v>
      </c>
      <c r="H6" s="111" t="s">
        <v>603</v>
      </c>
      <c r="I6" s="172">
        <v>46150</v>
      </c>
      <c r="J6" s="72">
        <v>46150</v>
      </c>
      <c r="K6" s="134"/>
      <c r="L6" s="134"/>
      <c r="M6" s="134"/>
      <c r="N6" s="135" t="e">
        <f>_xlfn.XLOOKUP('Linhas Rápidas'!B6,COHVPI!A:A,COHVPI!I:I)</f>
        <v>#N/A</v>
      </c>
      <c r="O6" s="115" t="s">
        <v>21</v>
      </c>
      <c r="P6" s="256" t="s">
        <v>820</v>
      </c>
      <c r="Q6"/>
      <c r="R6" s="262"/>
      <c r="S6" s="265"/>
      <c r="T6" s="268"/>
      <c r="U6" s="271" t="e">
        <f>_xlfn.XLOOKUP(T6,COHVPI!A:A,COHVPI!F:F)</f>
        <v>#N/A</v>
      </c>
      <c r="V6" s="274"/>
      <c r="W6" s="277"/>
      <c r="X6" s="277"/>
      <c r="Y6"/>
      <c r="Z6"/>
      <c r="AA6"/>
      <c r="AB6"/>
      <c r="AD6" t="e">
        <f>VLOOKUP(B6,COHVPI!A:N,14,0)</f>
        <v>#N/A</v>
      </c>
      <c r="AE6" s="95" t="e">
        <f>VLOOKUP(B6,COHVPI!A:E,5,0)</f>
        <v>#N/A</v>
      </c>
      <c r="AF6" s="95" t="e">
        <f t="shared" si="0"/>
        <v>#N/A</v>
      </c>
      <c r="AG6"/>
      <c r="AH6" s="67"/>
      <c r="AI6"/>
      <c r="AJ6" s="95"/>
    </row>
    <row r="7" spans="1:36" s="35" customFormat="1" ht="15.75" customHeight="1" x14ac:dyDescent="0.25">
      <c r="A7" s="98">
        <v>10</v>
      </c>
      <c r="B7" s="98">
        <v>1961285</v>
      </c>
      <c r="C7" s="73" t="s">
        <v>660</v>
      </c>
      <c r="D7" s="104">
        <v>9500</v>
      </c>
      <c r="E7" s="77">
        <f>_xlfn.XLOOKUP(B7,COHVPI!A:A,COHVPI!E:E,0,0,1)</f>
        <v>0</v>
      </c>
      <c r="F7" s="77" t="e">
        <f>_xlfn.XLOOKUP(B7,COHVPI!A:A,COHVPI!F:F)</f>
        <v>#N/A</v>
      </c>
      <c r="G7" s="74">
        <v>466337</v>
      </c>
      <c r="H7" s="111" t="s">
        <v>603</v>
      </c>
      <c r="I7" s="172">
        <v>46150</v>
      </c>
      <c r="J7" s="72">
        <v>46150</v>
      </c>
      <c r="K7" s="134"/>
      <c r="L7" s="134"/>
      <c r="M7" s="134"/>
      <c r="N7" s="135" t="e">
        <f>_xlfn.XLOOKUP('Linhas Rápidas'!B7,COHVPI!A:A,COHVPI!I:I)</f>
        <v>#N/A</v>
      </c>
      <c r="O7" s="115" t="s">
        <v>21</v>
      </c>
      <c r="P7" s="256" t="s">
        <v>820</v>
      </c>
      <c r="Q7"/>
      <c r="R7" s="263"/>
      <c r="S7" s="266"/>
      <c r="T7" s="269"/>
      <c r="U7" s="272"/>
      <c r="V7" s="275"/>
      <c r="W7" s="278"/>
      <c r="X7" s="278"/>
      <c r="Y7"/>
      <c r="Z7"/>
      <c r="AA7"/>
      <c r="AB7"/>
      <c r="AD7" t="e">
        <f>VLOOKUP(B7,COHVPI!A:N,14,0)</f>
        <v>#N/A</v>
      </c>
      <c r="AE7" s="95" t="e">
        <f>VLOOKUP(B7,COHVPI!A:E,5,0)</f>
        <v>#N/A</v>
      </c>
      <c r="AF7" s="95" t="e">
        <f t="shared" si="0"/>
        <v>#N/A</v>
      </c>
      <c r="AG7"/>
      <c r="AH7" s="67"/>
      <c r="AI7"/>
      <c r="AJ7" s="95"/>
    </row>
    <row r="8" spans="1:36" s="35" customFormat="1" ht="15.75" customHeight="1" x14ac:dyDescent="0.25">
      <c r="A8" s="98">
        <v>10</v>
      </c>
      <c r="B8" s="98">
        <v>1961358</v>
      </c>
      <c r="C8" s="73" t="s">
        <v>661</v>
      </c>
      <c r="D8" s="104">
        <v>9500</v>
      </c>
      <c r="E8" s="77">
        <f>_xlfn.XLOOKUP(B8,COHVPI!A:A,COHVPI!E:E,0,0,1)</f>
        <v>0</v>
      </c>
      <c r="F8" s="77" t="e">
        <f>_xlfn.XLOOKUP(B8,COHVPI!A:A,COHVPI!F:F)</f>
        <v>#N/A</v>
      </c>
      <c r="G8" s="74">
        <v>466343</v>
      </c>
      <c r="H8" s="111" t="s">
        <v>512</v>
      </c>
      <c r="I8" s="172">
        <v>46151</v>
      </c>
      <c r="J8" s="72">
        <v>46151</v>
      </c>
      <c r="K8" s="72"/>
      <c r="L8" s="72"/>
      <c r="M8" s="72"/>
      <c r="N8" s="106" t="e">
        <f>_xlfn.XLOOKUP('Linhas Rápidas'!B8,COHVPI!A:A,COHVPI!I:I)</f>
        <v>#N/A</v>
      </c>
      <c r="O8" s="115" t="s">
        <v>21</v>
      </c>
      <c r="P8" s="256" t="s">
        <v>820</v>
      </c>
      <c r="Q8"/>
      <c r="R8" s="261" t="s">
        <v>508</v>
      </c>
      <c r="S8" s="281" t="s">
        <v>509</v>
      </c>
      <c r="T8" s="267">
        <v>1961386</v>
      </c>
      <c r="U8" s="270">
        <f>_xlfn.XLOOKUP(T8,COHVPI!A:A,COHVPI!F:F)</f>
        <v>0</v>
      </c>
      <c r="V8" s="273">
        <f>_xlfn.XLOOKUP(T8,COHVPI!A:A,COHVPI!I:I)</f>
        <v>46151</v>
      </c>
      <c r="W8" s="276">
        <f>X8/12</f>
        <v>9600</v>
      </c>
      <c r="X8" s="276">
        <f>28800*4</f>
        <v>115200</v>
      </c>
      <c r="Y8"/>
      <c r="Z8"/>
      <c r="AA8"/>
      <c r="AB8"/>
      <c r="AD8" t="e">
        <f>VLOOKUP(B8,COHVPI!A:N,14,0)</f>
        <v>#N/A</v>
      </c>
      <c r="AE8" s="95" t="e">
        <f>VLOOKUP(B8,COHVPI!A:E,5,0)</f>
        <v>#N/A</v>
      </c>
      <c r="AF8" s="95" t="e">
        <f t="shared" si="0"/>
        <v>#N/A</v>
      </c>
      <c r="AG8"/>
      <c r="AH8" s="67"/>
      <c r="AI8"/>
      <c r="AJ8" s="95"/>
    </row>
    <row r="9" spans="1:36" s="35" customFormat="1" ht="15.75" customHeight="1" x14ac:dyDescent="0.25">
      <c r="A9" s="98">
        <v>10</v>
      </c>
      <c r="B9" s="98">
        <v>1961359</v>
      </c>
      <c r="C9" s="73" t="s">
        <v>662</v>
      </c>
      <c r="D9" s="104">
        <v>9500</v>
      </c>
      <c r="E9" s="77">
        <f>_xlfn.XLOOKUP(B9,COHVPI!A:A,COHVPI!E:E,0,0,1)</f>
        <v>0</v>
      </c>
      <c r="F9" s="77" t="e">
        <f>_xlfn.XLOOKUP(B9,COHVPI!A:A,COHVPI!F:F)</f>
        <v>#N/A</v>
      </c>
      <c r="G9" s="74">
        <v>466343</v>
      </c>
      <c r="H9" s="111" t="s">
        <v>512</v>
      </c>
      <c r="I9" s="172">
        <v>46151</v>
      </c>
      <c r="J9" s="72">
        <v>46151</v>
      </c>
      <c r="K9" s="72"/>
      <c r="L9" s="72"/>
      <c r="M9" s="72"/>
      <c r="N9" s="106" t="e">
        <f>_xlfn.XLOOKUP('Linhas Rápidas'!B9,COHVPI!A:A,COHVPI!I:I)</f>
        <v>#N/A</v>
      </c>
      <c r="O9" s="115" t="s">
        <v>21</v>
      </c>
      <c r="P9" s="256" t="s">
        <v>820</v>
      </c>
      <c r="Q9"/>
      <c r="R9" s="262"/>
      <c r="S9" s="265"/>
      <c r="T9" s="268"/>
      <c r="U9" s="271"/>
      <c r="V9" s="274"/>
      <c r="W9" s="277"/>
      <c r="X9" s="277"/>
      <c r="Y9"/>
      <c r="Z9"/>
      <c r="AA9"/>
      <c r="AB9"/>
      <c r="AD9" t="e">
        <f>VLOOKUP(B9,COHVPI!A:N,14,0)</f>
        <v>#N/A</v>
      </c>
      <c r="AE9" s="95" t="e">
        <f>VLOOKUP(B9,COHVPI!A:E,5,0)</f>
        <v>#N/A</v>
      </c>
      <c r="AF9" s="95" t="e">
        <f t="shared" si="0"/>
        <v>#N/A</v>
      </c>
      <c r="AG9"/>
      <c r="AH9" s="67"/>
      <c r="AI9"/>
      <c r="AJ9" s="95"/>
    </row>
    <row r="10" spans="1:36" s="35" customFormat="1" ht="15.75" customHeight="1" x14ac:dyDescent="0.25">
      <c r="A10" s="98">
        <v>10</v>
      </c>
      <c r="B10" s="98">
        <v>1961360</v>
      </c>
      <c r="C10" s="73" t="s">
        <v>663</v>
      </c>
      <c r="D10" s="104">
        <v>9500</v>
      </c>
      <c r="E10" s="77">
        <f>_xlfn.XLOOKUP(B10,COHVPI!A:A,COHVPI!E:E,0,0,1)</f>
        <v>0</v>
      </c>
      <c r="F10" s="77" t="e">
        <f>_xlfn.XLOOKUP(B10,COHVPI!A:A,COHVPI!F:F)</f>
        <v>#N/A</v>
      </c>
      <c r="G10" s="74">
        <v>466343</v>
      </c>
      <c r="H10" s="111" t="s">
        <v>512</v>
      </c>
      <c r="I10" s="172">
        <v>46151</v>
      </c>
      <c r="J10" s="72">
        <v>46151</v>
      </c>
      <c r="K10" s="72"/>
      <c r="L10" s="72"/>
      <c r="M10" s="72"/>
      <c r="N10" s="106" t="e">
        <f>_xlfn.XLOOKUP('Linhas Rápidas'!B10,COHVPI!A:A,COHVPI!I:I)</f>
        <v>#N/A</v>
      </c>
      <c r="O10" s="115" t="s">
        <v>21</v>
      </c>
      <c r="P10" s="256" t="s">
        <v>820</v>
      </c>
      <c r="Q10"/>
      <c r="R10" s="262"/>
      <c r="S10" s="265"/>
      <c r="T10" s="268"/>
      <c r="U10" s="271" t="e">
        <f>_xlfn.XLOOKUP(T10,COHVPI!A:A,COHVPI!F:F)</f>
        <v>#N/A</v>
      </c>
      <c r="V10" s="274"/>
      <c r="W10" s="277"/>
      <c r="X10" s="277"/>
      <c r="Y10"/>
      <c r="Z10"/>
      <c r="AA10"/>
      <c r="AB10"/>
      <c r="AD10" t="e">
        <f>VLOOKUP(B10,COHVPI!A:N,14,0)</f>
        <v>#N/A</v>
      </c>
      <c r="AE10" s="95" t="e">
        <f>VLOOKUP(B10,COHVPI!A:E,5,0)</f>
        <v>#N/A</v>
      </c>
      <c r="AF10" s="95" t="e">
        <f t="shared" si="0"/>
        <v>#N/A</v>
      </c>
      <c r="AG10"/>
      <c r="AH10" s="67"/>
      <c r="AI10"/>
      <c r="AJ10" s="95"/>
    </row>
    <row r="11" spans="1:36" s="35" customFormat="1" ht="15.75" customHeight="1" x14ac:dyDescent="0.25">
      <c r="A11" s="98">
        <v>10</v>
      </c>
      <c r="B11" s="98">
        <v>1961361</v>
      </c>
      <c r="C11" s="73" t="s">
        <v>664</v>
      </c>
      <c r="D11" s="104">
        <v>9500</v>
      </c>
      <c r="E11" s="77">
        <f>_xlfn.XLOOKUP(B11,COHVPI!A:A,COHVPI!E:E,0,0,1)</f>
        <v>0</v>
      </c>
      <c r="F11" s="77" t="e">
        <f>_xlfn.XLOOKUP(B11,COHVPI!A:A,COHVPI!F:F)</f>
        <v>#N/A</v>
      </c>
      <c r="G11" s="74">
        <v>466343</v>
      </c>
      <c r="H11" s="111" t="s">
        <v>512</v>
      </c>
      <c r="I11" s="172">
        <v>46153</v>
      </c>
      <c r="J11" s="72">
        <v>46151</v>
      </c>
      <c r="K11" s="72"/>
      <c r="L11" s="72"/>
      <c r="M11" s="72"/>
      <c r="N11" s="106" t="e">
        <f>_xlfn.XLOOKUP('Linhas Rápidas'!B11,COHVPI!A:A,COHVPI!I:I)</f>
        <v>#N/A</v>
      </c>
      <c r="O11" s="115" t="s">
        <v>21</v>
      </c>
      <c r="P11" s="256" t="s">
        <v>820</v>
      </c>
      <c r="Q11"/>
      <c r="R11" s="263"/>
      <c r="S11" s="266"/>
      <c r="T11" s="269"/>
      <c r="U11" s="272"/>
      <c r="V11" s="275"/>
      <c r="W11" s="278"/>
      <c r="X11" s="278"/>
      <c r="Y11"/>
      <c r="Z11"/>
      <c r="AA11"/>
      <c r="AB11"/>
      <c r="AD11" t="e">
        <f>VLOOKUP(B11,COHVPI!A:N,14,0)</f>
        <v>#N/A</v>
      </c>
      <c r="AE11" s="95" t="e">
        <f>VLOOKUP(B11,COHVPI!A:E,5,0)</f>
        <v>#N/A</v>
      </c>
      <c r="AF11" s="95" t="e">
        <f t="shared" si="0"/>
        <v>#N/A</v>
      </c>
      <c r="AG11"/>
      <c r="AH11" s="67"/>
      <c r="AI11"/>
      <c r="AJ11" s="95"/>
    </row>
    <row r="12" spans="1:36" s="35" customFormat="1" ht="15.75" customHeight="1" x14ac:dyDescent="0.25">
      <c r="A12" s="98">
        <v>10</v>
      </c>
      <c r="B12" s="98">
        <v>1961362</v>
      </c>
      <c r="C12" s="73" t="s">
        <v>665</v>
      </c>
      <c r="D12" s="104">
        <v>9500</v>
      </c>
      <c r="E12" s="77">
        <f>_xlfn.XLOOKUP(B12,COHVPI!A:A,COHVPI!E:E,0,0,1)</f>
        <v>0</v>
      </c>
      <c r="F12" s="77" t="e">
        <f>_xlfn.XLOOKUP(B12,COHVPI!A:A,COHVPI!F:F)</f>
        <v>#N/A</v>
      </c>
      <c r="G12" s="74">
        <v>466343</v>
      </c>
      <c r="H12" s="111" t="s">
        <v>512</v>
      </c>
      <c r="I12" s="172">
        <v>46153</v>
      </c>
      <c r="J12" s="72">
        <v>46151</v>
      </c>
      <c r="K12" s="72"/>
      <c r="L12" s="72"/>
      <c r="M12" s="72"/>
      <c r="N12" s="106" t="e">
        <f>_xlfn.XLOOKUP('Linhas Rápidas'!B12,COHVPI!A:A,COHVPI!I:I)</f>
        <v>#N/A</v>
      </c>
      <c r="O12" s="115" t="s">
        <v>21</v>
      </c>
      <c r="P12" s="256" t="s">
        <v>820</v>
      </c>
      <c r="Q12"/>
      <c r="R12" s="261" t="s">
        <v>508</v>
      </c>
      <c r="S12" s="281" t="s">
        <v>509</v>
      </c>
      <c r="T12" s="267">
        <v>1961387</v>
      </c>
      <c r="U12" s="270">
        <f>_xlfn.XLOOKUP(T12,COHVPI!A:A,COHVPI!F:F)</f>
        <v>0</v>
      </c>
      <c r="V12" s="273">
        <f>_xlfn.XLOOKUP(T12,COHVPI!A:A,COHVPI!I:I)</f>
        <v>46153</v>
      </c>
      <c r="W12" s="276">
        <f>X12/12</f>
        <v>9600</v>
      </c>
      <c r="X12" s="276">
        <v>115200</v>
      </c>
      <c r="Y12"/>
      <c r="Z12"/>
      <c r="AA12"/>
      <c r="AB12"/>
      <c r="AD12" t="e">
        <f>VLOOKUP(B12,COHVPI!A:N,14,0)</f>
        <v>#N/A</v>
      </c>
      <c r="AE12" s="95" t="e">
        <f>VLOOKUP(B12,COHVPI!A:E,5,0)</f>
        <v>#N/A</v>
      </c>
      <c r="AF12" s="95" t="e">
        <f t="shared" si="0"/>
        <v>#N/A</v>
      </c>
      <c r="AG12"/>
      <c r="AH12" s="67"/>
      <c r="AI12"/>
      <c r="AJ12" s="95"/>
    </row>
    <row r="13" spans="1:36" s="35" customFormat="1" ht="15.75" customHeight="1" x14ac:dyDescent="0.25">
      <c r="A13" s="98">
        <v>10</v>
      </c>
      <c r="B13" s="98">
        <v>1961363</v>
      </c>
      <c r="C13" s="73" t="s">
        <v>666</v>
      </c>
      <c r="D13" s="104">
        <v>9500</v>
      </c>
      <c r="E13" s="77">
        <f>_xlfn.XLOOKUP(B13,COHVPI!A:A,COHVPI!E:E,0,0,1)</f>
        <v>0</v>
      </c>
      <c r="F13" s="77" t="e">
        <f>_xlfn.XLOOKUP(B13,COHVPI!A:A,COHVPI!F:F)</f>
        <v>#N/A</v>
      </c>
      <c r="G13" s="74">
        <v>466343</v>
      </c>
      <c r="H13" s="111" t="s">
        <v>512</v>
      </c>
      <c r="I13" s="172">
        <v>46153</v>
      </c>
      <c r="J13" s="72">
        <v>46153</v>
      </c>
      <c r="K13" s="72"/>
      <c r="L13" s="72"/>
      <c r="M13" s="72"/>
      <c r="N13" s="106" t="e">
        <f>_xlfn.XLOOKUP('Linhas Rápidas'!B13,COHVPI!A:A,COHVPI!I:I)</f>
        <v>#N/A</v>
      </c>
      <c r="O13" s="115" t="s">
        <v>21</v>
      </c>
      <c r="P13" s="256" t="s">
        <v>820</v>
      </c>
      <c r="Q13"/>
      <c r="R13" s="262"/>
      <c r="S13" s="265"/>
      <c r="T13" s="268"/>
      <c r="U13" s="271"/>
      <c r="V13" s="274"/>
      <c r="W13" s="277"/>
      <c r="X13" s="277"/>
      <c r="Y13"/>
      <c r="Z13"/>
      <c r="AA13"/>
      <c r="AB13"/>
      <c r="AD13" t="e">
        <f>VLOOKUP(B13,COHVPI!A:N,14,0)</f>
        <v>#N/A</v>
      </c>
      <c r="AE13" s="95" t="e">
        <f>VLOOKUP(B13,COHVPI!A:E,5,0)</f>
        <v>#N/A</v>
      </c>
      <c r="AF13" s="95" t="e">
        <f t="shared" si="0"/>
        <v>#N/A</v>
      </c>
      <c r="AG13"/>
      <c r="AH13" s="67"/>
      <c r="AI13"/>
      <c r="AJ13" s="95"/>
    </row>
    <row r="14" spans="1:36" s="35" customFormat="1" ht="15.75" customHeight="1" x14ac:dyDescent="0.25">
      <c r="A14" s="98">
        <v>10</v>
      </c>
      <c r="B14" s="98">
        <v>1961364</v>
      </c>
      <c r="C14" s="73" t="s">
        <v>667</v>
      </c>
      <c r="D14" s="104">
        <v>9500</v>
      </c>
      <c r="E14" s="77">
        <f>_xlfn.XLOOKUP(B14,COHVPI!A:A,COHVPI!E:E,0,0,1)</f>
        <v>0</v>
      </c>
      <c r="F14" s="77" t="e">
        <f>_xlfn.XLOOKUP(B14,COHVPI!A:A,COHVPI!F:F)</f>
        <v>#N/A</v>
      </c>
      <c r="G14" s="74">
        <v>466343</v>
      </c>
      <c r="H14" s="111" t="s">
        <v>512</v>
      </c>
      <c r="I14" s="172">
        <v>46154</v>
      </c>
      <c r="J14" s="72">
        <v>46153</v>
      </c>
      <c r="K14" s="72"/>
      <c r="L14" s="72"/>
      <c r="M14" s="72"/>
      <c r="N14" s="106" t="e">
        <f>_xlfn.XLOOKUP('Linhas Rápidas'!B14,COHVPI!A:A,COHVPI!I:I)</f>
        <v>#N/A</v>
      </c>
      <c r="O14" s="115" t="s">
        <v>21</v>
      </c>
      <c r="P14" s="256" t="s">
        <v>820</v>
      </c>
      <c r="Q14"/>
      <c r="R14" s="262"/>
      <c r="S14" s="265"/>
      <c r="T14" s="268"/>
      <c r="U14" s="271" t="e">
        <f>_xlfn.XLOOKUP(T14,COHVPI!A:A,COHVPI!F:F)</f>
        <v>#N/A</v>
      </c>
      <c r="V14" s="274"/>
      <c r="W14" s="277"/>
      <c r="X14" s="277"/>
      <c r="Y14"/>
      <c r="Z14"/>
      <c r="AA14"/>
      <c r="AB14"/>
      <c r="AD14" t="e">
        <f>VLOOKUP(B14,COHVPI!A:N,14,0)</f>
        <v>#N/A</v>
      </c>
      <c r="AE14" s="95" t="e">
        <f>VLOOKUP(B14,COHVPI!A:E,5,0)</f>
        <v>#N/A</v>
      </c>
      <c r="AF14" s="95" t="e">
        <f t="shared" si="0"/>
        <v>#N/A</v>
      </c>
      <c r="AG14"/>
      <c r="AH14" s="67"/>
      <c r="AI14"/>
      <c r="AJ14" s="95"/>
    </row>
    <row r="15" spans="1:36" s="35" customFormat="1" ht="15" customHeight="1" x14ac:dyDescent="0.25">
      <c r="A15" s="98">
        <v>10</v>
      </c>
      <c r="B15" s="98">
        <v>1961365</v>
      </c>
      <c r="C15" s="73" t="s">
        <v>668</v>
      </c>
      <c r="D15" s="104">
        <v>9500</v>
      </c>
      <c r="E15" s="77">
        <f>_xlfn.XLOOKUP(B15,COHVPI!A:A,COHVPI!E:E,0,0,1)</f>
        <v>0</v>
      </c>
      <c r="F15" s="77" t="e">
        <f>_xlfn.XLOOKUP(B15,COHVPI!A:A,COHVPI!F:F)</f>
        <v>#N/A</v>
      </c>
      <c r="G15" s="74">
        <v>466343</v>
      </c>
      <c r="H15" s="111" t="s">
        <v>512</v>
      </c>
      <c r="I15" s="172">
        <v>46154</v>
      </c>
      <c r="J15" s="72">
        <v>46153</v>
      </c>
      <c r="K15" s="72"/>
      <c r="L15" s="72"/>
      <c r="M15" s="72"/>
      <c r="N15" s="106" t="e">
        <f>_xlfn.XLOOKUP('Linhas Rápidas'!B15,COHVPI!A:A,COHVPI!I:I)</f>
        <v>#N/A</v>
      </c>
      <c r="O15" s="115" t="s">
        <v>21</v>
      </c>
      <c r="P15" s="256" t="s">
        <v>820</v>
      </c>
      <c r="Q15"/>
      <c r="R15" s="263"/>
      <c r="S15" s="266"/>
      <c r="T15" s="269"/>
      <c r="U15" s="272"/>
      <c r="V15" s="275"/>
      <c r="W15" s="278"/>
      <c r="X15" s="278"/>
      <c r="Y15"/>
      <c r="Z15"/>
      <c r="AA15"/>
      <c r="AB15"/>
      <c r="AD15" t="e">
        <f>VLOOKUP(B15,COHVPI!A:N,14,0)</f>
        <v>#N/A</v>
      </c>
      <c r="AE15" s="95" t="e">
        <f>VLOOKUP(B15,COHVPI!A:E,5,0)</f>
        <v>#N/A</v>
      </c>
      <c r="AF15" s="95" t="e">
        <f t="shared" si="0"/>
        <v>#N/A</v>
      </c>
      <c r="AG15"/>
      <c r="AH15" s="67"/>
      <c r="AI15"/>
      <c r="AJ15" s="95"/>
    </row>
    <row r="16" spans="1:36" s="27" customFormat="1" ht="16.5" customHeight="1" x14ac:dyDescent="0.25">
      <c r="A16" s="91"/>
      <c r="B16" s="91"/>
      <c r="C16" s="92"/>
      <c r="D16" s="100"/>
      <c r="E16" s="100"/>
      <c r="F16" s="100"/>
      <c r="G16" s="93"/>
      <c r="H16" s="112" t="s">
        <v>833</v>
      </c>
      <c r="I16" s="94"/>
      <c r="J16" s="94"/>
      <c r="K16" s="94"/>
      <c r="L16" s="94"/>
      <c r="M16" s="94"/>
      <c r="N16" s="101"/>
      <c r="O16" s="177"/>
      <c r="P16" s="94"/>
      <c r="Q16"/>
      <c r="R16" s="282" t="s">
        <v>833</v>
      </c>
      <c r="S16" s="283"/>
      <c r="T16" s="283"/>
      <c r="U16" s="283"/>
      <c r="V16" s="283"/>
      <c r="W16" s="283"/>
      <c r="X16" s="283"/>
      <c r="Y16"/>
      <c r="Z16"/>
      <c r="AA16"/>
      <c r="AB16"/>
      <c r="AD16" t="e">
        <f>VLOOKUP(B16,COHVPI!A:N,14,0)</f>
        <v>#N/A</v>
      </c>
      <c r="AE16" s="95" t="e">
        <f>VLOOKUP(B16,COHVPI!A:E,5,0)</f>
        <v>#N/A</v>
      </c>
      <c r="AF16" s="95" t="e">
        <f t="shared" si="0"/>
        <v>#N/A</v>
      </c>
      <c r="AG16"/>
      <c r="AH16" s="67"/>
      <c r="AI16"/>
      <c r="AJ16" s="95"/>
    </row>
    <row r="17" spans="1:36" s="35" customFormat="1" ht="15.75" customHeight="1" x14ac:dyDescent="0.25">
      <c r="A17" s="98">
        <v>10</v>
      </c>
      <c r="B17" s="98">
        <v>1961622</v>
      </c>
      <c r="C17" s="73" t="s">
        <v>690</v>
      </c>
      <c r="D17" s="104">
        <v>9500</v>
      </c>
      <c r="E17" s="77" t="e">
        <f>_xlfn.XLOOKUP(A17,COHVPI!#REF!,COHVPI!E:E)</f>
        <v>#REF!</v>
      </c>
      <c r="F17" s="77" t="e">
        <f>_xlfn.XLOOKUP(B17,COHVPI!A:A,COHVPI!F:F)</f>
        <v>#N/A</v>
      </c>
      <c r="G17" s="74">
        <v>470365</v>
      </c>
      <c r="H17" s="111" t="s">
        <v>607</v>
      </c>
      <c r="I17" s="172">
        <v>46153</v>
      </c>
      <c r="J17" s="72">
        <v>46153</v>
      </c>
      <c r="K17" s="134"/>
      <c r="L17" s="134"/>
      <c r="M17" s="134"/>
      <c r="N17" s="135" t="e">
        <f>_xlfn.XLOOKUP('Linhas Rápidas'!B17,COHVPI!A:A,COHVPI!I:I)</f>
        <v>#N/A</v>
      </c>
      <c r="O17" s="115" t="s">
        <v>21</v>
      </c>
      <c r="P17" s="256" t="s">
        <v>820</v>
      </c>
      <c r="Q17"/>
      <c r="R17" s="261" t="s">
        <v>573</v>
      </c>
      <c r="S17" s="264" t="s">
        <v>574</v>
      </c>
      <c r="T17" s="267">
        <v>1961393</v>
      </c>
      <c r="U17" s="270">
        <f>_xlfn.XLOOKUP(T17,COHVPI!A:A,COHVPI!F:F)</f>
        <v>0</v>
      </c>
      <c r="V17" s="273">
        <f>_xlfn.XLOOKUP(T17,COHVPI!A:A,COHVPI!I:I)</f>
        <v>46158</v>
      </c>
      <c r="W17" s="276">
        <f>X17/12</f>
        <v>9940</v>
      </c>
      <c r="X17" s="276">
        <f>29820*4</f>
        <v>119280</v>
      </c>
      <c r="Y17"/>
      <c r="Z17"/>
      <c r="AA17"/>
      <c r="AB17"/>
      <c r="AD17" t="e">
        <f>VLOOKUP(B17,COHVPI!A:N,14,0)</f>
        <v>#N/A</v>
      </c>
      <c r="AE17" s="95" t="e">
        <f>VLOOKUP(B17,COHVPI!A:E,5,0)</f>
        <v>#N/A</v>
      </c>
      <c r="AF17" s="95" t="e">
        <f t="shared" si="0"/>
        <v>#N/A</v>
      </c>
      <c r="AG17"/>
      <c r="AH17" s="67"/>
      <c r="AI17"/>
      <c r="AJ17" s="95"/>
    </row>
    <row r="18" spans="1:36" s="35" customFormat="1" ht="15.75" customHeight="1" x14ac:dyDescent="0.25">
      <c r="A18" s="98">
        <v>10</v>
      </c>
      <c r="B18" s="98">
        <v>1961623</v>
      </c>
      <c r="C18" s="73" t="s">
        <v>691</v>
      </c>
      <c r="D18" s="104">
        <v>9500</v>
      </c>
      <c r="E18" s="77" t="e">
        <f>_xlfn.XLOOKUP(A18,COHVPI!#REF!,COHVPI!E:E)</f>
        <v>#REF!</v>
      </c>
      <c r="F18" s="77" t="e">
        <f>_xlfn.XLOOKUP(B18,COHVPI!A:A,COHVPI!F:F)</f>
        <v>#N/A</v>
      </c>
      <c r="G18" s="74">
        <v>470365</v>
      </c>
      <c r="H18" s="111" t="s">
        <v>607</v>
      </c>
      <c r="I18" s="172">
        <v>46153</v>
      </c>
      <c r="J18" s="72">
        <v>46153</v>
      </c>
      <c r="K18" s="134"/>
      <c r="L18" s="134"/>
      <c r="M18" s="134"/>
      <c r="N18" s="135" t="e">
        <f>_xlfn.XLOOKUP('Linhas Rápidas'!B18,COHVPI!A:A,COHVPI!I:I)</f>
        <v>#N/A</v>
      </c>
      <c r="O18" s="115" t="s">
        <v>21</v>
      </c>
      <c r="P18" s="256" t="s">
        <v>820</v>
      </c>
      <c r="Q18"/>
      <c r="R18" s="262"/>
      <c r="S18" s="265"/>
      <c r="T18" s="268"/>
      <c r="U18" s="271"/>
      <c r="V18" s="274"/>
      <c r="W18" s="277"/>
      <c r="X18" s="277"/>
      <c r="Y18"/>
      <c r="Z18"/>
      <c r="AA18"/>
      <c r="AB18"/>
      <c r="AD18" t="e">
        <f>VLOOKUP(B18,COHVPI!A:N,14,0)</f>
        <v>#N/A</v>
      </c>
      <c r="AE18" s="95" t="e">
        <f>VLOOKUP(B18,COHVPI!A:E,5,0)</f>
        <v>#N/A</v>
      </c>
      <c r="AF18" s="95" t="e">
        <f t="shared" si="0"/>
        <v>#N/A</v>
      </c>
      <c r="AG18"/>
      <c r="AH18" s="67"/>
      <c r="AI18"/>
      <c r="AJ18" s="95"/>
    </row>
    <row r="19" spans="1:36" s="35" customFormat="1" ht="15.75" customHeight="1" x14ac:dyDescent="0.25">
      <c r="A19" s="98">
        <v>10</v>
      </c>
      <c r="B19" s="98">
        <v>1961624</v>
      </c>
      <c r="C19" s="73" t="s">
        <v>692</v>
      </c>
      <c r="D19" s="104">
        <v>9500</v>
      </c>
      <c r="E19" s="77" t="e">
        <f>_xlfn.XLOOKUP(A19,COHVPI!#REF!,COHVPI!E:E)</f>
        <v>#REF!</v>
      </c>
      <c r="F19" s="77" t="e">
        <f>_xlfn.XLOOKUP(B19,COHVPI!A:A,COHVPI!F:F)</f>
        <v>#N/A</v>
      </c>
      <c r="G19" s="74">
        <v>470365</v>
      </c>
      <c r="H19" s="111" t="s">
        <v>607</v>
      </c>
      <c r="I19" s="172">
        <v>46153</v>
      </c>
      <c r="J19" s="72">
        <v>46153</v>
      </c>
      <c r="K19" s="134"/>
      <c r="L19" s="134"/>
      <c r="M19" s="134"/>
      <c r="N19" s="135" t="e">
        <f>_xlfn.XLOOKUP('Linhas Rápidas'!B19,COHVPI!A:A,COHVPI!I:I)</f>
        <v>#N/A</v>
      </c>
      <c r="O19" s="115" t="s">
        <v>21</v>
      </c>
      <c r="P19" s="256" t="s">
        <v>820</v>
      </c>
      <c r="Q19"/>
      <c r="R19" s="262"/>
      <c r="S19" s="265"/>
      <c r="T19" s="268"/>
      <c r="U19" s="271">
        <f>_xlfn.XLOOKUP(T19,COHVPI!A:A,COHVPI!F:F)</f>
        <v>0</v>
      </c>
      <c r="V19" s="274"/>
      <c r="W19" s="277"/>
      <c r="X19" s="277"/>
      <c r="Y19"/>
      <c r="Z19"/>
      <c r="AA19"/>
      <c r="AB19"/>
      <c r="AD19" t="e">
        <f>VLOOKUP(B19,COHVPI!A:N,14,0)</f>
        <v>#N/A</v>
      </c>
      <c r="AE19" s="95" t="e">
        <f>VLOOKUP(B19,COHVPI!A:E,5,0)</f>
        <v>#N/A</v>
      </c>
      <c r="AF19" s="95" t="e">
        <f t="shared" si="0"/>
        <v>#N/A</v>
      </c>
      <c r="AG19"/>
      <c r="AH19" s="67"/>
      <c r="AI19"/>
      <c r="AJ19" s="95"/>
    </row>
    <row r="20" spans="1:36" s="35" customFormat="1" ht="15.75" customHeight="1" x14ac:dyDescent="0.25">
      <c r="A20" s="98">
        <v>10</v>
      </c>
      <c r="B20" s="98">
        <v>1961625</v>
      </c>
      <c r="C20" s="73" t="s">
        <v>693</v>
      </c>
      <c r="D20" s="104">
        <v>9500</v>
      </c>
      <c r="E20" s="77" t="e">
        <f>_xlfn.XLOOKUP(A20,COHVPI!#REF!,COHVPI!E:E)</f>
        <v>#REF!</v>
      </c>
      <c r="F20" s="77" t="e">
        <f>_xlfn.XLOOKUP(B20,COHVPI!A:A,COHVPI!F:F)</f>
        <v>#N/A</v>
      </c>
      <c r="G20" s="74">
        <v>470365</v>
      </c>
      <c r="H20" s="111" t="s">
        <v>607</v>
      </c>
      <c r="I20" s="172">
        <v>46154</v>
      </c>
      <c r="J20" s="72">
        <v>46154</v>
      </c>
      <c r="K20" s="134"/>
      <c r="L20" s="134"/>
      <c r="M20" s="134"/>
      <c r="N20" s="135" t="e">
        <f>_xlfn.XLOOKUP('Linhas Rápidas'!B20,COHVPI!A:A,COHVPI!I:I)</f>
        <v>#N/A</v>
      </c>
      <c r="O20" s="115" t="s">
        <v>21</v>
      </c>
      <c r="P20" s="256" t="s">
        <v>820</v>
      </c>
      <c r="Q20"/>
      <c r="R20" s="263"/>
      <c r="S20" s="266"/>
      <c r="T20" s="269"/>
      <c r="U20" s="272"/>
      <c r="V20" s="275"/>
      <c r="W20" s="278"/>
      <c r="X20" s="278"/>
      <c r="Y20"/>
      <c r="Z20"/>
      <c r="AA20"/>
      <c r="AB20"/>
      <c r="AD20" t="e">
        <f>VLOOKUP(B20,COHVPI!A:N,14,0)</f>
        <v>#N/A</v>
      </c>
      <c r="AE20" s="95" t="e">
        <f>VLOOKUP(B20,COHVPI!A:E,5,0)</f>
        <v>#N/A</v>
      </c>
      <c r="AF20" s="95" t="e">
        <f t="shared" si="0"/>
        <v>#N/A</v>
      </c>
      <c r="AG20"/>
      <c r="AH20" s="67"/>
      <c r="AI20"/>
      <c r="AJ20" s="95"/>
    </row>
    <row r="21" spans="1:36" s="35" customFormat="1" ht="15.75" customHeight="1" x14ac:dyDescent="0.25">
      <c r="A21" s="233">
        <v>10</v>
      </c>
      <c r="B21" s="233">
        <v>1961286</v>
      </c>
      <c r="C21" s="252" t="s">
        <v>669</v>
      </c>
      <c r="D21" s="236">
        <v>9500</v>
      </c>
      <c r="E21" s="246" t="e">
        <f>_xlfn.XLOOKUP(A21,COHVPI!#REF!,COHVPI!E:E)</f>
        <v>#REF!</v>
      </c>
      <c r="F21" s="246" t="e">
        <f>_xlfn.XLOOKUP(B21,COHVPI!A:A,COHVPI!F:F)</f>
        <v>#N/A</v>
      </c>
      <c r="G21" s="238">
        <v>466338</v>
      </c>
      <c r="H21" s="239" t="s">
        <v>604</v>
      </c>
      <c r="I21" s="172">
        <v>46154</v>
      </c>
      <c r="J21" s="241">
        <v>46154</v>
      </c>
      <c r="K21" s="241"/>
      <c r="L21" s="241"/>
      <c r="M21" s="241"/>
      <c r="N21" s="242" t="e">
        <f>_xlfn.XLOOKUP('Linhas Rápidas'!B21,COHVPI!A:A,COHVPI!I:I)</f>
        <v>#N/A</v>
      </c>
      <c r="O21" s="253" t="s">
        <v>807</v>
      </c>
      <c r="P21" s="256" t="s">
        <v>820</v>
      </c>
      <c r="Q21"/>
      <c r="R21" s="261" t="s">
        <v>567</v>
      </c>
      <c r="S21" s="281" t="s">
        <v>568</v>
      </c>
      <c r="T21" s="267">
        <v>1961388</v>
      </c>
      <c r="U21" s="270">
        <f>_xlfn.XLOOKUP(T21,COHVPI!A:A,COHVPI!F:F)</f>
        <v>0</v>
      </c>
      <c r="V21" s="273">
        <f>_xlfn.XLOOKUP(T21,COHVPI!A:A,COHVPI!I:I)</f>
        <v>46154</v>
      </c>
      <c r="W21" s="276">
        <f>X21/12</f>
        <v>12425</v>
      </c>
      <c r="X21" s="276">
        <f>29820*5</f>
        <v>149100</v>
      </c>
      <c r="Y21"/>
      <c r="Z21"/>
      <c r="AA21"/>
      <c r="AB21"/>
      <c r="AD21" t="e">
        <f>VLOOKUP(B21,COHVPI!A:N,14,0)</f>
        <v>#N/A</v>
      </c>
      <c r="AE21" s="95" t="e">
        <f>VLOOKUP(B21,COHVPI!A:E,5,0)</f>
        <v>#N/A</v>
      </c>
      <c r="AF21" s="95" t="e">
        <f t="shared" si="0"/>
        <v>#N/A</v>
      </c>
      <c r="AG21"/>
      <c r="AH21" s="67"/>
      <c r="AI21"/>
      <c r="AJ21" s="95"/>
    </row>
    <row r="22" spans="1:36" s="35" customFormat="1" ht="15.75" customHeight="1" x14ac:dyDescent="0.25">
      <c r="A22" s="233">
        <v>10</v>
      </c>
      <c r="B22" s="233">
        <v>1961287</v>
      </c>
      <c r="C22" s="252" t="s">
        <v>670</v>
      </c>
      <c r="D22" s="236">
        <v>9500</v>
      </c>
      <c r="E22" s="246" t="e">
        <f>_xlfn.XLOOKUP(A22,COHVPI!#REF!,COHVPI!E:E)</f>
        <v>#REF!</v>
      </c>
      <c r="F22" s="246" t="e">
        <f>_xlfn.XLOOKUP(B22,COHVPI!A:A,COHVPI!F:F)</f>
        <v>#N/A</v>
      </c>
      <c r="G22" s="238">
        <v>466338</v>
      </c>
      <c r="H22" s="239" t="s">
        <v>604</v>
      </c>
      <c r="I22" s="172">
        <v>46154</v>
      </c>
      <c r="J22" s="241">
        <v>46154</v>
      </c>
      <c r="K22" s="241"/>
      <c r="L22" s="241"/>
      <c r="M22" s="241"/>
      <c r="N22" s="242" t="e">
        <f>_xlfn.XLOOKUP('Linhas Rápidas'!B22,COHVPI!A:A,COHVPI!I:I)</f>
        <v>#N/A</v>
      </c>
      <c r="O22" s="253" t="s">
        <v>807</v>
      </c>
      <c r="P22" s="256" t="s">
        <v>822</v>
      </c>
      <c r="Q22"/>
      <c r="R22" s="262"/>
      <c r="S22" s="265"/>
      <c r="T22" s="268"/>
      <c r="U22" s="271"/>
      <c r="V22" s="274"/>
      <c r="W22" s="277"/>
      <c r="X22" s="277"/>
      <c r="Y22"/>
      <c r="Z22"/>
      <c r="AA22"/>
      <c r="AB22"/>
      <c r="AD22" t="e">
        <f>VLOOKUP(B22,COHVPI!A:N,14,0)</f>
        <v>#N/A</v>
      </c>
      <c r="AE22" s="95" t="e">
        <f>VLOOKUP(B22,COHVPI!A:E,5,0)</f>
        <v>#N/A</v>
      </c>
      <c r="AF22" s="95" t="e">
        <f t="shared" si="0"/>
        <v>#N/A</v>
      </c>
      <c r="AG22"/>
      <c r="AH22" s="67"/>
      <c r="AI22"/>
      <c r="AJ22" s="95"/>
    </row>
    <row r="23" spans="1:36" s="35" customFormat="1" ht="15.75" customHeight="1" x14ac:dyDescent="0.25">
      <c r="A23" s="174">
        <v>10</v>
      </c>
      <c r="B23" s="174">
        <v>1961288</v>
      </c>
      <c r="C23" s="225" t="s">
        <v>671</v>
      </c>
      <c r="D23" s="223">
        <v>9500</v>
      </c>
      <c r="E23" s="224"/>
      <c r="F23" s="224"/>
      <c r="G23" s="221">
        <v>466338</v>
      </c>
      <c r="H23" s="175" t="s">
        <v>604</v>
      </c>
      <c r="I23" s="172">
        <v>46154</v>
      </c>
      <c r="J23" s="134">
        <v>46154</v>
      </c>
      <c r="K23" s="134"/>
      <c r="L23" s="134"/>
      <c r="M23" s="134"/>
      <c r="N23" s="135"/>
      <c r="O23" s="226" t="s">
        <v>831</v>
      </c>
      <c r="P23" s="256" t="s">
        <v>822</v>
      </c>
      <c r="Q23"/>
      <c r="R23" s="262"/>
      <c r="S23" s="265"/>
      <c r="T23" s="268"/>
      <c r="U23" s="271"/>
      <c r="V23" s="274"/>
      <c r="W23" s="277"/>
      <c r="X23" s="277"/>
      <c r="Y23"/>
      <c r="Z23"/>
      <c r="AA23"/>
      <c r="AB23"/>
      <c r="AD23"/>
      <c r="AE23" s="95"/>
      <c r="AF23" s="95"/>
      <c r="AG23"/>
      <c r="AH23" s="67"/>
      <c r="AI23"/>
      <c r="AJ23" s="95"/>
    </row>
    <row r="24" spans="1:36" s="35" customFormat="1" ht="15.75" customHeight="1" x14ac:dyDescent="0.25">
      <c r="A24" s="174">
        <v>10</v>
      </c>
      <c r="B24" s="174">
        <v>1961289</v>
      </c>
      <c r="C24" s="225" t="s">
        <v>672</v>
      </c>
      <c r="D24" s="223">
        <v>9500</v>
      </c>
      <c r="E24" s="224" t="e">
        <f>_xlfn.XLOOKUP(A24,COHVPI!#REF!,COHVPI!E:E)</f>
        <v>#REF!</v>
      </c>
      <c r="F24" s="224" t="e">
        <f>_xlfn.XLOOKUP(B24,COHVPI!A:A,COHVPI!F:F)</f>
        <v>#N/A</v>
      </c>
      <c r="G24" s="221">
        <v>466338</v>
      </c>
      <c r="H24" s="175" t="s">
        <v>604</v>
      </c>
      <c r="I24" s="172">
        <v>46155</v>
      </c>
      <c r="J24" s="134">
        <v>46154</v>
      </c>
      <c r="K24" s="134"/>
      <c r="L24" s="134"/>
      <c r="M24" s="134"/>
      <c r="N24" s="135" t="e">
        <f>_xlfn.XLOOKUP('Linhas Rápidas'!B24,COHVPI!A:A,COHVPI!I:I)</f>
        <v>#N/A</v>
      </c>
      <c r="O24" s="226" t="s">
        <v>831</v>
      </c>
      <c r="P24" s="256" t="s">
        <v>822</v>
      </c>
      <c r="Q24"/>
      <c r="R24" s="262"/>
      <c r="S24" s="265"/>
      <c r="T24" s="268"/>
      <c r="U24" s="271" t="e">
        <f>_xlfn.XLOOKUP(T24,COHVPI!A:A,COHVPI!F:F)</f>
        <v>#N/A</v>
      </c>
      <c r="V24" s="274"/>
      <c r="W24" s="277"/>
      <c r="X24" s="277"/>
      <c r="Y24"/>
      <c r="Z24"/>
      <c r="AA24"/>
      <c r="AB24"/>
      <c r="AD24" t="e">
        <f>VLOOKUP(B24,COHVPI!A:N,14,0)</f>
        <v>#N/A</v>
      </c>
      <c r="AE24" s="95" t="e">
        <f>VLOOKUP(B24,COHVPI!A:E,5,0)</f>
        <v>#N/A</v>
      </c>
      <c r="AF24" s="95" t="e">
        <f t="shared" ref="AF24:AF49" si="1">AE24-D24</f>
        <v>#N/A</v>
      </c>
      <c r="AG24"/>
      <c r="AH24" s="67"/>
      <c r="AI24"/>
      <c r="AJ24" s="95"/>
    </row>
    <row r="25" spans="1:36" s="35" customFormat="1" ht="15.75" customHeight="1" x14ac:dyDescent="0.25">
      <c r="A25" s="174">
        <v>10</v>
      </c>
      <c r="B25" s="174">
        <v>1961290</v>
      </c>
      <c r="C25" s="225" t="s">
        <v>673</v>
      </c>
      <c r="D25" s="223">
        <v>9500</v>
      </c>
      <c r="E25" s="224" t="e">
        <f>_xlfn.XLOOKUP(A25,COHVPI!#REF!,COHVPI!E:E)</f>
        <v>#REF!</v>
      </c>
      <c r="F25" s="224" t="e">
        <f>_xlfn.XLOOKUP(B25,COHVPI!A:A,COHVPI!F:F)</f>
        <v>#N/A</v>
      </c>
      <c r="G25" s="221">
        <v>466338</v>
      </c>
      <c r="H25" s="175" t="s">
        <v>604</v>
      </c>
      <c r="I25" s="172">
        <v>46155</v>
      </c>
      <c r="J25" s="134">
        <v>46154</v>
      </c>
      <c r="K25" s="134"/>
      <c r="L25" s="134"/>
      <c r="M25" s="134"/>
      <c r="N25" s="135" t="e">
        <f>_xlfn.XLOOKUP('Linhas Rápidas'!B25,COHVPI!A:A,COHVPI!I:I)</f>
        <v>#N/A</v>
      </c>
      <c r="O25" s="226" t="s">
        <v>831</v>
      </c>
      <c r="P25" s="256" t="s">
        <v>822</v>
      </c>
      <c r="Q25"/>
      <c r="R25" s="263"/>
      <c r="S25" s="266"/>
      <c r="T25" s="269"/>
      <c r="U25" s="272"/>
      <c r="V25" s="275"/>
      <c r="W25" s="278"/>
      <c r="X25" s="278"/>
      <c r="Y25"/>
      <c r="Z25"/>
      <c r="AA25"/>
      <c r="AB25"/>
      <c r="AD25" t="e">
        <f>VLOOKUP(B25,COHVPI!A:N,14,0)</f>
        <v>#N/A</v>
      </c>
      <c r="AE25" s="95" t="e">
        <f>VLOOKUP(B25,COHVPI!A:E,5,0)</f>
        <v>#N/A</v>
      </c>
      <c r="AF25" s="95" t="e">
        <f t="shared" si="1"/>
        <v>#N/A</v>
      </c>
      <c r="AG25"/>
      <c r="AH25" s="67"/>
      <c r="AI25"/>
      <c r="AJ25" s="95"/>
    </row>
    <row r="26" spans="1:36" s="35" customFormat="1" ht="15.75" customHeight="1" x14ac:dyDescent="0.25">
      <c r="A26" s="98">
        <v>10</v>
      </c>
      <c r="B26" s="98">
        <v>1961338</v>
      </c>
      <c r="C26" s="73" t="s">
        <v>674</v>
      </c>
      <c r="D26" s="104">
        <v>9500</v>
      </c>
      <c r="E26" s="77" t="e">
        <f>_xlfn.XLOOKUP(A26,COHVPI!#REF!,COHVPI!E:E)</f>
        <v>#REF!</v>
      </c>
      <c r="F26" s="77" t="e">
        <f>_xlfn.XLOOKUP(B26,COHVPI!A:A,COHVPI!F:F)</f>
        <v>#N/A</v>
      </c>
      <c r="G26" s="74">
        <v>466334</v>
      </c>
      <c r="H26" s="111" t="s">
        <v>605</v>
      </c>
      <c r="I26" s="172">
        <v>46155</v>
      </c>
      <c r="J26" s="72">
        <v>46155</v>
      </c>
      <c r="K26" s="134"/>
      <c r="L26" s="134"/>
      <c r="M26" s="134"/>
      <c r="N26" s="135" t="e">
        <f>_xlfn.XLOOKUP('Linhas Rápidas'!B26,COHVPI!A:A,COHVPI!I:I)</f>
        <v>#N/A</v>
      </c>
      <c r="O26" s="115" t="s">
        <v>21</v>
      </c>
      <c r="P26" s="256" t="s">
        <v>820</v>
      </c>
      <c r="Q26"/>
      <c r="R26" s="261" t="s">
        <v>569</v>
      </c>
      <c r="S26" s="264" t="s">
        <v>570</v>
      </c>
      <c r="T26" s="267">
        <v>1961389</v>
      </c>
      <c r="U26" s="270">
        <f>_xlfn.XLOOKUP(T26,COHVPI!A:A,COHVPI!F:F)</f>
        <v>0</v>
      </c>
      <c r="V26" s="273">
        <f>_xlfn.XLOOKUP(T26,COHVPI!A:A,COHVPI!I:I)</f>
        <v>46155</v>
      </c>
      <c r="W26" s="276">
        <f>X26/12</f>
        <v>9940</v>
      </c>
      <c r="X26" s="276">
        <f>29820*4</f>
        <v>119280</v>
      </c>
      <c r="Y26"/>
      <c r="Z26"/>
      <c r="AA26"/>
      <c r="AB26"/>
      <c r="AD26" t="e">
        <f>VLOOKUP(B26,COHVPI!A:N,14,0)</f>
        <v>#N/A</v>
      </c>
      <c r="AE26" s="95" t="e">
        <f>VLOOKUP(B26,COHVPI!A:E,5,0)</f>
        <v>#N/A</v>
      </c>
      <c r="AF26" s="95" t="e">
        <f t="shared" si="1"/>
        <v>#N/A</v>
      </c>
      <c r="AG26"/>
      <c r="AH26" s="67"/>
      <c r="AI26"/>
      <c r="AJ26" s="95"/>
    </row>
    <row r="27" spans="1:36" s="35" customFormat="1" ht="15.75" customHeight="1" x14ac:dyDescent="0.25">
      <c r="A27" s="174">
        <v>10</v>
      </c>
      <c r="B27" s="174">
        <v>1961339</v>
      </c>
      <c r="C27" s="225" t="s">
        <v>675</v>
      </c>
      <c r="D27" s="223">
        <v>9500</v>
      </c>
      <c r="E27" s="224" t="e">
        <f>_xlfn.XLOOKUP(A27,COHVPI!#REF!,COHVPI!E:E)</f>
        <v>#REF!</v>
      </c>
      <c r="F27" s="224" t="e">
        <f>_xlfn.XLOOKUP(B27,COHVPI!A:A,COHVPI!F:F)</f>
        <v>#N/A</v>
      </c>
      <c r="G27" s="221">
        <v>466334</v>
      </c>
      <c r="H27" s="175" t="s">
        <v>605</v>
      </c>
      <c r="I27" s="172">
        <v>46155</v>
      </c>
      <c r="J27" s="134">
        <v>46155</v>
      </c>
      <c r="K27" s="134"/>
      <c r="L27" s="134"/>
      <c r="M27" s="134"/>
      <c r="N27" s="135" t="e">
        <f>_xlfn.XLOOKUP('Linhas Rápidas'!B27,COHVPI!A:A,COHVPI!I:I)</f>
        <v>#N/A</v>
      </c>
      <c r="O27" s="226" t="s">
        <v>793</v>
      </c>
      <c r="P27" s="256" t="s">
        <v>820</v>
      </c>
      <c r="Q27"/>
      <c r="R27" s="262"/>
      <c r="S27" s="265"/>
      <c r="T27" s="268"/>
      <c r="U27" s="271"/>
      <c r="V27" s="274"/>
      <c r="W27" s="277"/>
      <c r="X27" s="277"/>
      <c r="Y27"/>
      <c r="Z27"/>
      <c r="AA27"/>
      <c r="AB27"/>
      <c r="AD27" t="e">
        <f>VLOOKUP(B27,COHVPI!A:N,14,0)</f>
        <v>#N/A</v>
      </c>
      <c r="AE27" s="95" t="e">
        <f>VLOOKUP(B27,COHVPI!A:E,5,0)</f>
        <v>#N/A</v>
      </c>
      <c r="AF27" s="95" t="e">
        <f t="shared" si="1"/>
        <v>#N/A</v>
      </c>
      <c r="AG27"/>
      <c r="AH27" s="67"/>
      <c r="AI27"/>
      <c r="AJ27" s="95"/>
    </row>
    <row r="28" spans="1:36" s="35" customFormat="1" ht="15.75" customHeight="1" x14ac:dyDescent="0.25">
      <c r="A28" s="174">
        <v>10</v>
      </c>
      <c r="B28" s="174">
        <v>1961340</v>
      </c>
      <c r="C28" s="225" t="s">
        <v>676</v>
      </c>
      <c r="D28" s="223">
        <v>9500</v>
      </c>
      <c r="E28" s="224" t="e">
        <f>_xlfn.XLOOKUP(A28,COHVPI!#REF!,COHVPI!E:E)</f>
        <v>#REF!</v>
      </c>
      <c r="F28" s="224" t="e">
        <f>_xlfn.XLOOKUP(B28,COHVPI!A:A,COHVPI!F:F)</f>
        <v>#N/A</v>
      </c>
      <c r="G28" s="221">
        <v>466334</v>
      </c>
      <c r="H28" s="175" t="s">
        <v>605</v>
      </c>
      <c r="I28" s="172">
        <v>46155</v>
      </c>
      <c r="J28" s="134">
        <v>46155</v>
      </c>
      <c r="K28" s="134"/>
      <c r="L28" s="134"/>
      <c r="M28" s="134"/>
      <c r="N28" s="135" t="e">
        <f>_xlfn.XLOOKUP('Linhas Rápidas'!B28,COHVPI!A:A,COHVPI!I:I)</f>
        <v>#N/A</v>
      </c>
      <c r="O28" s="226" t="s">
        <v>793</v>
      </c>
      <c r="P28" s="256" t="s">
        <v>820</v>
      </c>
      <c r="Q28"/>
      <c r="R28" s="262"/>
      <c r="S28" s="265"/>
      <c r="T28" s="268"/>
      <c r="U28" s="271" t="e">
        <f>_xlfn.XLOOKUP(T28,COHVPI!A:A,COHVPI!F:F)</f>
        <v>#N/A</v>
      </c>
      <c r="V28" s="274"/>
      <c r="W28" s="277"/>
      <c r="X28" s="277"/>
      <c r="Y28"/>
      <c r="Z28"/>
      <c r="AA28"/>
      <c r="AB28"/>
      <c r="AD28" t="e">
        <f>VLOOKUP(B28,COHVPI!A:N,14,0)</f>
        <v>#N/A</v>
      </c>
      <c r="AE28" s="95" t="e">
        <f>VLOOKUP(B28,COHVPI!A:E,5,0)</f>
        <v>#N/A</v>
      </c>
      <c r="AF28" s="95" t="e">
        <f t="shared" si="1"/>
        <v>#N/A</v>
      </c>
      <c r="AG28"/>
      <c r="AH28" s="67"/>
      <c r="AI28"/>
      <c r="AJ28" s="95"/>
    </row>
    <row r="29" spans="1:36" s="35" customFormat="1" ht="15.75" customHeight="1" x14ac:dyDescent="0.25">
      <c r="A29" s="174">
        <v>10</v>
      </c>
      <c r="B29" s="174">
        <v>1961341</v>
      </c>
      <c r="C29" s="225" t="s">
        <v>677</v>
      </c>
      <c r="D29" s="223">
        <v>9500</v>
      </c>
      <c r="E29" s="224" t="e">
        <f>_xlfn.XLOOKUP(A29,COHVPI!#REF!,COHVPI!E:E)</f>
        <v>#REF!</v>
      </c>
      <c r="F29" s="224" t="e">
        <f>_xlfn.XLOOKUP(B29,COHVPI!A:A,COHVPI!F:F)</f>
        <v>#N/A</v>
      </c>
      <c r="G29" s="221">
        <v>466334</v>
      </c>
      <c r="H29" s="175" t="s">
        <v>605</v>
      </c>
      <c r="I29" s="172">
        <v>46156</v>
      </c>
      <c r="J29" s="134">
        <v>46155</v>
      </c>
      <c r="K29" s="134"/>
      <c r="L29" s="134"/>
      <c r="M29" s="134"/>
      <c r="N29" s="135" t="e">
        <f>_xlfn.XLOOKUP('Linhas Rápidas'!B29,COHVPI!A:A,COHVPI!I:I)</f>
        <v>#N/A</v>
      </c>
      <c r="O29" s="226" t="s">
        <v>793</v>
      </c>
      <c r="P29" s="256" t="s">
        <v>820</v>
      </c>
      <c r="Q29"/>
      <c r="R29" s="263"/>
      <c r="S29" s="266"/>
      <c r="T29" s="269"/>
      <c r="U29" s="272"/>
      <c r="V29" s="275"/>
      <c r="W29" s="278"/>
      <c r="X29" s="278"/>
      <c r="Y29"/>
      <c r="Z29"/>
      <c r="AA29"/>
      <c r="AB29"/>
      <c r="AD29" t="e">
        <f>VLOOKUP(B29,COHVPI!A:N,14,0)</f>
        <v>#N/A</v>
      </c>
      <c r="AE29" s="95" t="e">
        <f>VLOOKUP(B29,COHVPI!A:E,5,0)</f>
        <v>#N/A</v>
      </c>
      <c r="AF29" s="95" t="e">
        <f t="shared" si="1"/>
        <v>#N/A</v>
      </c>
      <c r="AG29"/>
      <c r="AH29" s="67"/>
      <c r="AI29"/>
      <c r="AJ29" s="95"/>
    </row>
    <row r="30" spans="1:36" s="35" customFormat="1" ht="15.75" customHeight="1" x14ac:dyDescent="0.25">
      <c r="A30" s="174">
        <v>10</v>
      </c>
      <c r="B30" s="174">
        <v>1961342</v>
      </c>
      <c r="C30" s="225" t="s">
        <v>678</v>
      </c>
      <c r="D30" s="223">
        <v>9500</v>
      </c>
      <c r="E30" s="224" t="e">
        <f>_xlfn.XLOOKUP(A30,COHVPI!#REF!,COHVPI!E:E)</f>
        <v>#REF!</v>
      </c>
      <c r="F30" s="224" t="e">
        <f>_xlfn.XLOOKUP(B30,COHVPI!A:A,COHVPI!F:F)</f>
        <v>#N/A</v>
      </c>
      <c r="G30" s="221">
        <v>466334</v>
      </c>
      <c r="H30" s="175" t="s">
        <v>605</v>
      </c>
      <c r="I30" s="172">
        <v>46156</v>
      </c>
      <c r="J30" s="134">
        <v>46155</v>
      </c>
      <c r="K30" s="134"/>
      <c r="L30" s="134"/>
      <c r="M30" s="134"/>
      <c r="N30" s="135" t="e">
        <f>_xlfn.XLOOKUP('Linhas Rápidas'!B30,COHVPI!A:A,COHVPI!I:I)</f>
        <v>#N/A</v>
      </c>
      <c r="O30" s="226" t="s">
        <v>793</v>
      </c>
      <c r="P30" s="256" t="s">
        <v>820</v>
      </c>
      <c r="Q30"/>
      <c r="R30" s="261" t="s">
        <v>569</v>
      </c>
      <c r="S30" s="264" t="s">
        <v>570</v>
      </c>
      <c r="T30" s="267">
        <v>1961390</v>
      </c>
      <c r="U30" s="270">
        <f>_xlfn.XLOOKUP(T30,COHVPI!A:A,COHVPI!F:F)</f>
        <v>0</v>
      </c>
      <c r="V30" s="273">
        <f>_xlfn.XLOOKUP(T30,COHVPI!A:A,COHVPI!I:I)</f>
        <v>46156</v>
      </c>
      <c r="W30" s="276">
        <f>X30/12</f>
        <v>9940</v>
      </c>
      <c r="X30" s="276">
        <f>29820*4</f>
        <v>119280</v>
      </c>
      <c r="Y30"/>
      <c r="Z30"/>
      <c r="AA30"/>
      <c r="AB30"/>
      <c r="AD30" t="e">
        <f>VLOOKUP(B30,COHVPI!A:N,14,0)</f>
        <v>#N/A</v>
      </c>
      <c r="AE30" s="95" t="e">
        <f>VLOOKUP(B30,COHVPI!A:E,5,0)</f>
        <v>#N/A</v>
      </c>
      <c r="AF30" s="95" t="e">
        <f t="shared" si="1"/>
        <v>#N/A</v>
      </c>
      <c r="AG30"/>
      <c r="AH30" s="67"/>
      <c r="AI30"/>
      <c r="AJ30" s="95"/>
    </row>
    <row r="31" spans="1:36" s="35" customFormat="1" ht="15.75" customHeight="1" x14ac:dyDescent="0.25">
      <c r="A31" s="174">
        <v>10</v>
      </c>
      <c r="B31" s="174"/>
      <c r="C31" s="225"/>
      <c r="D31" s="223">
        <v>9500</v>
      </c>
      <c r="E31" s="224" t="e">
        <f>_xlfn.XLOOKUP(A31,COHVPI!#REF!,COHVPI!E:E)</f>
        <v>#REF!</v>
      </c>
      <c r="F31" s="224" t="e">
        <f>_xlfn.XLOOKUP(B31,COHVPI!A:A,COHVPI!F:F)</f>
        <v>#N/A</v>
      </c>
      <c r="G31" s="221">
        <v>466334</v>
      </c>
      <c r="H31" s="175" t="s">
        <v>605</v>
      </c>
      <c r="I31" s="172">
        <v>46156</v>
      </c>
      <c r="J31" s="134">
        <v>46156</v>
      </c>
      <c r="K31" s="134"/>
      <c r="L31" s="134"/>
      <c r="M31" s="134"/>
      <c r="N31" s="135" t="e">
        <f>_xlfn.XLOOKUP('Linhas Rápidas'!B31,COHVPI!A:A,COHVPI!I:I)</f>
        <v>#N/A</v>
      </c>
      <c r="O31" s="226" t="s">
        <v>794</v>
      </c>
      <c r="P31" s="256" t="s">
        <v>820</v>
      </c>
      <c r="Q31"/>
      <c r="R31" s="262"/>
      <c r="S31" s="265"/>
      <c r="T31" s="268"/>
      <c r="U31" s="271"/>
      <c r="V31" s="274"/>
      <c r="W31" s="277"/>
      <c r="X31" s="277"/>
      <c r="Y31"/>
      <c r="Z31" s="174">
        <v>1961343</v>
      </c>
      <c r="AA31" s="225" t="s">
        <v>679</v>
      </c>
      <c r="AB31"/>
      <c r="AD31" t="e">
        <f>VLOOKUP(B31,COHVPI!A:N,14,0)</f>
        <v>#N/A</v>
      </c>
      <c r="AE31" s="95" t="e">
        <f>VLOOKUP(B31,COHVPI!A:E,5,0)</f>
        <v>#N/A</v>
      </c>
      <c r="AF31" s="95" t="e">
        <f t="shared" si="1"/>
        <v>#N/A</v>
      </c>
      <c r="AG31"/>
      <c r="AH31" s="67"/>
      <c r="AI31"/>
      <c r="AJ31" s="95"/>
    </row>
    <row r="32" spans="1:36" s="35" customFormat="1" ht="15.75" customHeight="1" x14ac:dyDescent="0.25">
      <c r="A32" s="174">
        <v>10</v>
      </c>
      <c r="B32" s="174"/>
      <c r="C32" s="225"/>
      <c r="D32" s="223">
        <v>9500</v>
      </c>
      <c r="E32" s="224" t="e">
        <f>_xlfn.XLOOKUP(A32,COHVPI!#REF!,COHVPI!E:E)</f>
        <v>#REF!</v>
      </c>
      <c r="F32" s="224" t="e">
        <f>_xlfn.XLOOKUP(B32,COHVPI!A:A,COHVPI!F:F)</f>
        <v>#N/A</v>
      </c>
      <c r="G32" s="221">
        <v>466334</v>
      </c>
      <c r="H32" s="175" t="s">
        <v>605</v>
      </c>
      <c r="I32" s="172">
        <v>46156</v>
      </c>
      <c r="J32" s="134">
        <v>46156</v>
      </c>
      <c r="K32" s="134"/>
      <c r="L32" s="134"/>
      <c r="M32" s="134"/>
      <c r="N32" s="135" t="e">
        <f>_xlfn.XLOOKUP('Linhas Rápidas'!B32,COHVPI!A:A,COHVPI!I:I)</f>
        <v>#N/A</v>
      </c>
      <c r="O32" s="226" t="s">
        <v>794</v>
      </c>
      <c r="P32" s="256" t="s">
        <v>820</v>
      </c>
      <c r="Q32"/>
      <c r="R32" s="262"/>
      <c r="S32" s="265"/>
      <c r="T32" s="268"/>
      <c r="U32" s="271" t="e">
        <f>_xlfn.XLOOKUP(T32,COHVPI!A:A,COHVPI!F:F)</f>
        <v>#N/A</v>
      </c>
      <c r="V32" s="274"/>
      <c r="W32" s="277"/>
      <c r="X32" s="277"/>
      <c r="Y32"/>
      <c r="Z32" s="174">
        <v>1961344</v>
      </c>
      <c r="AA32" s="225" t="s">
        <v>680</v>
      </c>
      <c r="AB32"/>
      <c r="AD32" t="e">
        <f>VLOOKUP(B32,COHVPI!A:N,14,0)</f>
        <v>#N/A</v>
      </c>
      <c r="AE32" s="95" t="e">
        <f>VLOOKUP(B32,COHVPI!A:E,5,0)</f>
        <v>#N/A</v>
      </c>
      <c r="AF32" s="95" t="e">
        <f t="shared" si="1"/>
        <v>#N/A</v>
      </c>
      <c r="AG32"/>
      <c r="AH32" s="67"/>
      <c r="AI32"/>
      <c r="AJ32" s="95"/>
    </row>
    <row r="33" spans="1:36" s="35" customFormat="1" ht="15.75" customHeight="1" x14ac:dyDescent="0.25">
      <c r="A33" s="174">
        <v>10</v>
      </c>
      <c r="B33" s="174"/>
      <c r="C33" s="225"/>
      <c r="D33" s="223">
        <v>9500</v>
      </c>
      <c r="E33" s="224" t="e">
        <f>_xlfn.XLOOKUP(A33,COHVPI!#REF!,COHVPI!E:E)</f>
        <v>#REF!</v>
      </c>
      <c r="F33" s="224" t="e">
        <f>_xlfn.XLOOKUP(B33,COHVPI!A:A,COHVPI!F:F)</f>
        <v>#N/A</v>
      </c>
      <c r="G33" s="221">
        <v>466334</v>
      </c>
      <c r="H33" s="175" t="s">
        <v>605</v>
      </c>
      <c r="I33" s="172">
        <v>46156</v>
      </c>
      <c r="J33" s="134">
        <v>46156</v>
      </c>
      <c r="K33" s="134"/>
      <c r="L33" s="134"/>
      <c r="M33" s="134"/>
      <c r="N33" s="135" t="e">
        <f>_xlfn.XLOOKUP('Linhas Rápidas'!B33,COHVPI!A:A,COHVPI!I:I)</f>
        <v>#N/A</v>
      </c>
      <c r="O33" s="226" t="s">
        <v>794</v>
      </c>
      <c r="P33" s="256" t="s">
        <v>820</v>
      </c>
      <c r="Q33"/>
      <c r="R33" s="263"/>
      <c r="S33" s="266"/>
      <c r="T33" s="269"/>
      <c r="U33" s="272"/>
      <c r="V33" s="275"/>
      <c r="W33" s="278"/>
      <c r="X33" s="278"/>
      <c r="Y33"/>
      <c r="Z33" s="174">
        <v>1961345</v>
      </c>
      <c r="AA33" s="225" t="s">
        <v>681</v>
      </c>
      <c r="AB33"/>
      <c r="AD33" t="e">
        <f>VLOOKUP(B33,COHVPI!A:N,14,0)</f>
        <v>#N/A</v>
      </c>
      <c r="AE33" s="95" t="e">
        <f>VLOOKUP(B33,COHVPI!A:E,5,0)</f>
        <v>#N/A</v>
      </c>
      <c r="AF33" s="95" t="e">
        <f t="shared" si="1"/>
        <v>#N/A</v>
      </c>
      <c r="AG33"/>
      <c r="AH33" s="67"/>
      <c r="AI33"/>
      <c r="AJ33" s="95"/>
    </row>
    <row r="34" spans="1:36" s="35" customFormat="1" ht="15.75" customHeight="1" x14ac:dyDescent="0.25">
      <c r="A34" s="98">
        <v>10</v>
      </c>
      <c r="B34" s="98">
        <v>1961330</v>
      </c>
      <c r="C34" s="73" t="s">
        <v>682</v>
      </c>
      <c r="D34" s="104">
        <v>9500</v>
      </c>
      <c r="E34" s="77" t="e">
        <f>_xlfn.XLOOKUP(A34,COHVPI!#REF!,COHVPI!E:E)</f>
        <v>#REF!</v>
      </c>
      <c r="F34" s="77" t="e">
        <f>_xlfn.XLOOKUP(B34,COHVPI!A:A,COHVPI!F:F)</f>
        <v>#N/A</v>
      </c>
      <c r="G34" s="74">
        <v>466332</v>
      </c>
      <c r="H34" s="111" t="s">
        <v>606</v>
      </c>
      <c r="I34" s="172">
        <v>46156</v>
      </c>
      <c r="J34" s="72">
        <v>46156</v>
      </c>
      <c r="K34" s="134"/>
      <c r="L34" s="134"/>
      <c r="M34" s="134"/>
      <c r="N34" s="135" t="e">
        <f>_xlfn.XLOOKUP('Linhas Rápidas'!B34,COHVPI!A:A,COHVPI!I:I)</f>
        <v>#N/A</v>
      </c>
      <c r="O34" s="115" t="s">
        <v>21</v>
      </c>
      <c r="P34" s="256" t="s">
        <v>823</v>
      </c>
      <c r="Q34"/>
      <c r="R34" s="261" t="s">
        <v>571</v>
      </c>
      <c r="S34" s="264" t="s">
        <v>572</v>
      </c>
      <c r="T34" s="267">
        <v>1961391</v>
      </c>
      <c r="U34" s="270">
        <f>_xlfn.XLOOKUP(T34,COHVPI!A:A,COHVPI!F:F)</f>
        <v>0</v>
      </c>
      <c r="V34" s="273">
        <f>_xlfn.XLOOKUP(T34,COHVPI!A:A,COHVPI!I:I)</f>
        <v>46157</v>
      </c>
      <c r="W34" s="276">
        <f>X34/12</f>
        <v>9940</v>
      </c>
      <c r="X34" s="276">
        <f>29820*4</f>
        <v>119280</v>
      </c>
      <c r="Y34"/>
      <c r="Z34"/>
      <c r="AA34"/>
      <c r="AB34"/>
      <c r="AD34" t="e">
        <f>VLOOKUP(B34,COHVPI!A:N,14,0)</f>
        <v>#N/A</v>
      </c>
      <c r="AE34" s="95" t="e">
        <f>VLOOKUP(B34,COHVPI!A:E,5,0)</f>
        <v>#N/A</v>
      </c>
      <c r="AF34" s="95" t="e">
        <f t="shared" si="1"/>
        <v>#N/A</v>
      </c>
      <c r="AG34"/>
      <c r="AH34" s="67"/>
      <c r="AI34"/>
      <c r="AJ34" s="95"/>
    </row>
    <row r="35" spans="1:36" s="35" customFormat="1" ht="15.75" customHeight="1" x14ac:dyDescent="0.25">
      <c r="A35" s="98">
        <v>10</v>
      </c>
      <c r="B35" s="98">
        <v>1961331</v>
      </c>
      <c r="C35" s="73" t="s">
        <v>683</v>
      </c>
      <c r="D35" s="104">
        <v>9500</v>
      </c>
      <c r="E35" s="77" t="e">
        <f>_xlfn.XLOOKUP(A35,COHVPI!#REF!,COHVPI!E:E)</f>
        <v>#REF!</v>
      </c>
      <c r="F35" s="77" t="e">
        <f>_xlfn.XLOOKUP(B35,COHVPI!A:A,COHVPI!F:F)</f>
        <v>#N/A</v>
      </c>
      <c r="G35" s="74">
        <v>466332</v>
      </c>
      <c r="H35" s="111" t="s">
        <v>606</v>
      </c>
      <c r="I35" s="172">
        <v>46156</v>
      </c>
      <c r="J35" s="72">
        <v>46156</v>
      </c>
      <c r="K35" s="134"/>
      <c r="L35" s="134"/>
      <c r="M35" s="134"/>
      <c r="N35" s="135" t="e">
        <f>_xlfn.XLOOKUP('Linhas Rápidas'!B35,COHVPI!A:A,COHVPI!I:I)</f>
        <v>#N/A</v>
      </c>
      <c r="O35" s="115" t="s">
        <v>21</v>
      </c>
      <c r="P35" s="256" t="s">
        <v>823</v>
      </c>
      <c r="Q35"/>
      <c r="R35" s="262"/>
      <c r="S35" s="265"/>
      <c r="T35" s="268"/>
      <c r="U35" s="271"/>
      <c r="V35" s="274"/>
      <c r="W35" s="277"/>
      <c r="X35" s="277"/>
      <c r="Y35"/>
      <c r="Z35"/>
      <c r="AA35"/>
      <c r="AB35"/>
      <c r="AD35" t="e">
        <f>VLOOKUP(B35,COHVPI!A:N,14,0)</f>
        <v>#N/A</v>
      </c>
      <c r="AE35" s="95" t="e">
        <f>VLOOKUP(B35,COHVPI!A:E,5,0)</f>
        <v>#N/A</v>
      </c>
      <c r="AF35" s="95" t="e">
        <f t="shared" si="1"/>
        <v>#N/A</v>
      </c>
      <c r="AG35"/>
      <c r="AH35" s="67"/>
      <c r="AI35"/>
      <c r="AJ35" s="95"/>
    </row>
    <row r="36" spans="1:36" s="35" customFormat="1" ht="15.75" customHeight="1" x14ac:dyDescent="0.25">
      <c r="A36" s="98">
        <v>10</v>
      </c>
      <c r="B36" s="98">
        <v>1961332</v>
      </c>
      <c r="C36" s="73" t="s">
        <v>684</v>
      </c>
      <c r="D36" s="104">
        <v>9500</v>
      </c>
      <c r="E36" s="77" t="e">
        <f>_xlfn.XLOOKUP(A36,COHVPI!#REF!,COHVPI!E:E)</f>
        <v>#REF!</v>
      </c>
      <c r="F36" s="77" t="e">
        <f>_xlfn.XLOOKUP(B36,COHVPI!A:A,COHVPI!F:F)</f>
        <v>#N/A</v>
      </c>
      <c r="G36" s="74">
        <v>466332</v>
      </c>
      <c r="H36" s="111" t="s">
        <v>606</v>
      </c>
      <c r="I36" s="172">
        <v>46156</v>
      </c>
      <c r="J36" s="72">
        <v>46156</v>
      </c>
      <c r="K36" s="134"/>
      <c r="L36" s="134"/>
      <c r="M36" s="134"/>
      <c r="N36" s="135" t="e">
        <f>_xlfn.XLOOKUP('Linhas Rápidas'!B36,COHVPI!A:A,COHVPI!I:I)</f>
        <v>#N/A</v>
      </c>
      <c r="O36" s="115" t="s">
        <v>21</v>
      </c>
      <c r="P36" s="256" t="s">
        <v>823</v>
      </c>
      <c r="Q36"/>
      <c r="R36" s="262"/>
      <c r="S36" s="265"/>
      <c r="T36" s="268"/>
      <c r="U36" s="271" t="e">
        <f>_xlfn.XLOOKUP(T36,COHVPI!A:A,COHVPI!F:F)</f>
        <v>#N/A</v>
      </c>
      <c r="V36" s="274"/>
      <c r="W36" s="277"/>
      <c r="X36" s="277"/>
      <c r="Y36"/>
      <c r="Z36"/>
      <c r="AA36"/>
      <c r="AB36"/>
      <c r="AD36" t="e">
        <f>VLOOKUP(B36,COHVPI!A:N,14,0)</f>
        <v>#N/A</v>
      </c>
      <c r="AE36" s="95" t="e">
        <f>VLOOKUP(B36,COHVPI!A:E,5,0)</f>
        <v>#N/A</v>
      </c>
      <c r="AF36" s="95" t="e">
        <f t="shared" si="1"/>
        <v>#N/A</v>
      </c>
      <c r="AG36"/>
      <c r="AH36" s="67"/>
      <c r="AI36"/>
      <c r="AJ36" s="95"/>
    </row>
    <row r="37" spans="1:36" s="35" customFormat="1" ht="15.75" customHeight="1" x14ac:dyDescent="0.25">
      <c r="A37" s="98">
        <v>10</v>
      </c>
      <c r="B37" s="98">
        <v>1961333</v>
      </c>
      <c r="C37" s="73" t="s">
        <v>685</v>
      </c>
      <c r="D37" s="104">
        <v>9500</v>
      </c>
      <c r="E37" s="77" t="e">
        <f>_xlfn.XLOOKUP(A37,COHVPI!#REF!,COHVPI!E:E)</f>
        <v>#REF!</v>
      </c>
      <c r="F37" s="77" t="e">
        <f>_xlfn.XLOOKUP(B37,COHVPI!A:A,COHVPI!F:F)</f>
        <v>#N/A</v>
      </c>
      <c r="G37" s="74">
        <v>466332</v>
      </c>
      <c r="H37" s="111" t="s">
        <v>606</v>
      </c>
      <c r="I37" s="172">
        <v>46157</v>
      </c>
      <c r="J37" s="72">
        <v>46157</v>
      </c>
      <c r="K37" s="134"/>
      <c r="L37" s="134"/>
      <c r="M37" s="134"/>
      <c r="N37" s="135" t="e">
        <f>_xlfn.XLOOKUP('Linhas Rápidas'!B37,COHVPI!A:A,COHVPI!I:I)</f>
        <v>#N/A</v>
      </c>
      <c r="O37" s="115" t="s">
        <v>21</v>
      </c>
      <c r="P37" s="256" t="s">
        <v>823</v>
      </c>
      <c r="Q37"/>
      <c r="R37" s="263"/>
      <c r="S37" s="266"/>
      <c r="T37" s="269"/>
      <c r="U37" s="272"/>
      <c r="V37" s="275"/>
      <c r="W37" s="278"/>
      <c r="X37" s="278"/>
      <c r="Y37"/>
      <c r="Z37"/>
      <c r="AA37"/>
      <c r="AB37"/>
      <c r="AD37" t="e">
        <f>VLOOKUP(B37,COHVPI!A:N,14,0)</f>
        <v>#N/A</v>
      </c>
      <c r="AE37" s="95" t="e">
        <f>VLOOKUP(B37,COHVPI!A:E,5,0)</f>
        <v>#N/A</v>
      </c>
      <c r="AF37" s="95" t="e">
        <f t="shared" si="1"/>
        <v>#N/A</v>
      </c>
      <c r="AG37"/>
      <c r="AH37" s="67"/>
      <c r="AI37"/>
      <c r="AJ37" s="95"/>
    </row>
    <row r="38" spans="1:36" s="35" customFormat="1" ht="15.75" customHeight="1" x14ac:dyDescent="0.25">
      <c r="A38" s="98">
        <v>10</v>
      </c>
      <c r="B38" s="98">
        <v>1961334</v>
      </c>
      <c r="C38" s="73" t="s">
        <v>686</v>
      </c>
      <c r="D38" s="104">
        <v>9500</v>
      </c>
      <c r="E38" s="77" t="e">
        <f>_xlfn.XLOOKUP(A38,COHVPI!#REF!,COHVPI!E:E)</f>
        <v>#REF!</v>
      </c>
      <c r="F38" s="77" t="e">
        <f>_xlfn.XLOOKUP(B38,COHVPI!A:A,COHVPI!F:F)</f>
        <v>#N/A</v>
      </c>
      <c r="G38" s="74">
        <v>466332</v>
      </c>
      <c r="H38" s="111" t="s">
        <v>606</v>
      </c>
      <c r="I38" s="172">
        <v>46157</v>
      </c>
      <c r="J38" s="72">
        <v>46157</v>
      </c>
      <c r="K38" s="134"/>
      <c r="L38" s="134"/>
      <c r="M38" s="134"/>
      <c r="N38" s="135" t="e">
        <f>_xlfn.XLOOKUP('Linhas Rápidas'!B38,COHVPI!A:A,COHVPI!I:I)</f>
        <v>#N/A</v>
      </c>
      <c r="O38" s="115" t="s">
        <v>21</v>
      </c>
      <c r="P38" s="256" t="s">
        <v>830</v>
      </c>
      <c r="Q38"/>
      <c r="R38" s="261" t="s">
        <v>571</v>
      </c>
      <c r="S38" s="264" t="s">
        <v>572</v>
      </c>
      <c r="T38" s="267">
        <v>1961392</v>
      </c>
      <c r="U38" s="270">
        <f>_xlfn.XLOOKUP(T38,COHVPI!A:A,COHVPI!F:F)</f>
        <v>0</v>
      </c>
      <c r="V38" s="273">
        <f>_xlfn.XLOOKUP(T38,COHVPI!A:A,COHVPI!I:I)</f>
        <v>46157</v>
      </c>
      <c r="W38" s="276">
        <f>X38/12</f>
        <v>9940</v>
      </c>
      <c r="X38" s="276">
        <f>29820*4</f>
        <v>119280</v>
      </c>
      <c r="Y38"/>
      <c r="Z38"/>
      <c r="AA38"/>
      <c r="AB38"/>
      <c r="AD38" t="e">
        <f>VLOOKUP(B38,COHVPI!A:N,14,0)</f>
        <v>#N/A</v>
      </c>
      <c r="AE38" s="95" t="e">
        <f>VLOOKUP(B38,COHVPI!A:E,5,0)</f>
        <v>#N/A</v>
      </c>
      <c r="AF38" s="95" t="e">
        <f t="shared" si="1"/>
        <v>#N/A</v>
      </c>
      <c r="AG38"/>
      <c r="AH38" s="67"/>
      <c r="AI38"/>
      <c r="AJ38" s="95"/>
    </row>
    <row r="39" spans="1:36" s="35" customFormat="1" ht="15.75" customHeight="1" x14ac:dyDescent="0.25">
      <c r="A39" s="174">
        <v>10</v>
      </c>
      <c r="B39" s="174"/>
      <c r="C39" s="225"/>
      <c r="D39" s="223">
        <v>9500</v>
      </c>
      <c r="E39" s="224" t="e">
        <f>_xlfn.XLOOKUP(A39,COHVPI!#REF!,COHVPI!E:E)</f>
        <v>#REF!</v>
      </c>
      <c r="F39" s="224" t="e">
        <f>_xlfn.XLOOKUP(B39,COHVPI!A:A,COHVPI!F:F)</f>
        <v>#N/A</v>
      </c>
      <c r="G39" s="221">
        <v>466332</v>
      </c>
      <c r="H39" s="175" t="s">
        <v>606</v>
      </c>
      <c r="I39" s="172">
        <v>46157</v>
      </c>
      <c r="J39" s="134">
        <v>46157</v>
      </c>
      <c r="K39" s="134"/>
      <c r="L39" s="134"/>
      <c r="M39" s="134"/>
      <c r="N39" s="135" t="e">
        <f>_xlfn.XLOOKUP('Linhas Rápidas'!B39,COHVPI!A:A,COHVPI!I:I)</f>
        <v>#N/A</v>
      </c>
      <c r="O39" s="226" t="s">
        <v>837</v>
      </c>
      <c r="P39" s="256" t="s">
        <v>830</v>
      </c>
      <c r="Q39"/>
      <c r="R39" s="262"/>
      <c r="S39" s="265"/>
      <c r="T39" s="268"/>
      <c r="U39" s="271"/>
      <c r="V39" s="274"/>
      <c r="W39" s="277"/>
      <c r="X39" s="277"/>
      <c r="Y39"/>
      <c r="Z39" s="174">
        <v>1961335</v>
      </c>
      <c r="AA39" s="225" t="s">
        <v>687</v>
      </c>
      <c r="AB39"/>
      <c r="AD39" t="e">
        <f>VLOOKUP(B39,COHVPI!A:N,14,0)</f>
        <v>#N/A</v>
      </c>
      <c r="AE39" s="95" t="e">
        <f>VLOOKUP(B39,COHVPI!A:E,5,0)</f>
        <v>#N/A</v>
      </c>
      <c r="AF39" s="95" t="e">
        <f t="shared" si="1"/>
        <v>#N/A</v>
      </c>
      <c r="AG39"/>
      <c r="AH39" s="67"/>
      <c r="AI39"/>
      <c r="AJ39" s="95"/>
    </row>
    <row r="40" spans="1:36" s="35" customFormat="1" ht="15.75" customHeight="1" x14ac:dyDescent="0.25">
      <c r="A40" s="174">
        <v>10</v>
      </c>
      <c r="B40" s="174"/>
      <c r="C40" s="225"/>
      <c r="D40" s="223">
        <v>9500</v>
      </c>
      <c r="E40" s="224" t="e">
        <f>_xlfn.XLOOKUP(A40,COHVPI!#REF!,COHVPI!E:E)</f>
        <v>#REF!</v>
      </c>
      <c r="F40" s="224" t="e">
        <f>_xlfn.XLOOKUP(B40,COHVPI!A:A,COHVPI!F:F)</f>
        <v>#N/A</v>
      </c>
      <c r="G40" s="221">
        <v>466332</v>
      </c>
      <c r="H40" s="175" t="s">
        <v>606</v>
      </c>
      <c r="I40" s="172">
        <v>46157</v>
      </c>
      <c r="J40" s="134">
        <v>46157</v>
      </c>
      <c r="K40" s="134"/>
      <c r="L40" s="134"/>
      <c r="M40" s="134"/>
      <c r="N40" s="135" t="e">
        <f>_xlfn.XLOOKUP('Linhas Rápidas'!B40,COHVPI!A:A,COHVPI!I:I)</f>
        <v>#N/A</v>
      </c>
      <c r="O40" s="226" t="s">
        <v>837</v>
      </c>
      <c r="P40" s="256" t="s">
        <v>830</v>
      </c>
      <c r="Q40"/>
      <c r="R40" s="262"/>
      <c r="S40" s="265"/>
      <c r="T40" s="268"/>
      <c r="U40" s="271" t="e">
        <f>_xlfn.XLOOKUP(T40,COHVPI!A:A,COHVPI!F:F)</f>
        <v>#N/A</v>
      </c>
      <c r="V40" s="274"/>
      <c r="W40" s="277"/>
      <c r="X40" s="277"/>
      <c r="Y40"/>
      <c r="Z40" s="174">
        <v>1961336</v>
      </c>
      <c r="AA40" s="225" t="s">
        <v>688</v>
      </c>
      <c r="AB40"/>
      <c r="AD40" t="e">
        <f>VLOOKUP(B40,COHVPI!A:N,14,0)</f>
        <v>#N/A</v>
      </c>
      <c r="AE40" s="95" t="e">
        <f>VLOOKUP(B40,COHVPI!A:E,5,0)</f>
        <v>#N/A</v>
      </c>
      <c r="AF40" s="95" t="e">
        <f t="shared" si="1"/>
        <v>#N/A</v>
      </c>
      <c r="AG40"/>
      <c r="AH40" s="67"/>
      <c r="AI40"/>
      <c r="AJ40" s="95"/>
    </row>
    <row r="41" spans="1:36" s="35" customFormat="1" ht="15.75" customHeight="1" x14ac:dyDescent="0.25">
      <c r="A41" s="174">
        <v>10</v>
      </c>
      <c r="B41" s="174"/>
      <c r="C41" s="225"/>
      <c r="D41" s="223">
        <v>9500</v>
      </c>
      <c r="E41" s="224" t="e">
        <f>_xlfn.XLOOKUP(A41,COHVPI!#REF!,COHVPI!E:E)</f>
        <v>#REF!</v>
      </c>
      <c r="F41" s="224" t="e">
        <f>_xlfn.XLOOKUP(B41,COHVPI!A:A,COHVPI!F:F)</f>
        <v>#N/A</v>
      </c>
      <c r="G41" s="221">
        <v>466332</v>
      </c>
      <c r="H41" s="175" t="s">
        <v>606</v>
      </c>
      <c r="I41" s="172">
        <v>46157</v>
      </c>
      <c r="J41" s="134">
        <v>46157</v>
      </c>
      <c r="K41" s="134"/>
      <c r="L41" s="134"/>
      <c r="M41" s="134"/>
      <c r="N41" s="135" t="e">
        <f>_xlfn.XLOOKUP('Linhas Rápidas'!B41,COHVPI!A:A,COHVPI!I:I)</f>
        <v>#N/A</v>
      </c>
      <c r="O41" s="226" t="s">
        <v>837</v>
      </c>
      <c r="P41" s="256" t="s">
        <v>830</v>
      </c>
      <c r="Q41"/>
      <c r="R41" s="263"/>
      <c r="S41" s="266"/>
      <c r="T41" s="269"/>
      <c r="U41" s="272"/>
      <c r="V41" s="275"/>
      <c r="W41" s="278"/>
      <c r="X41" s="278"/>
      <c r="Y41"/>
      <c r="Z41" s="174">
        <v>1961337</v>
      </c>
      <c r="AA41" s="225" t="s">
        <v>689</v>
      </c>
      <c r="AB41"/>
      <c r="AD41" t="e">
        <f>VLOOKUP(B41,COHVPI!A:N,14,0)</f>
        <v>#N/A</v>
      </c>
      <c r="AE41" s="95" t="e">
        <f>VLOOKUP(B41,COHVPI!A:E,5,0)</f>
        <v>#N/A</v>
      </c>
      <c r="AF41" s="95" t="e">
        <f t="shared" si="1"/>
        <v>#N/A</v>
      </c>
      <c r="AG41"/>
      <c r="AH41" s="67"/>
      <c r="AI41"/>
      <c r="AJ41" s="95"/>
    </row>
    <row r="42" spans="1:36" s="35" customFormat="1" ht="15.75" customHeight="1" x14ac:dyDescent="0.25">
      <c r="A42" s="98">
        <v>10</v>
      </c>
      <c r="B42" s="98">
        <v>1961565</v>
      </c>
      <c r="C42" s="73" t="s">
        <v>694</v>
      </c>
      <c r="D42" s="104">
        <v>9500</v>
      </c>
      <c r="E42" s="77" t="e">
        <f>_xlfn.XLOOKUP(A42,COHVPI!#REF!,COHVPI!E:E)</f>
        <v>#REF!</v>
      </c>
      <c r="F42" s="77" t="e">
        <f>_xlfn.XLOOKUP(B42,COHVPI!A:A,COHVPI!F:F)</f>
        <v>#N/A</v>
      </c>
      <c r="G42" s="74">
        <v>466342</v>
      </c>
      <c r="H42" s="111" t="s">
        <v>608</v>
      </c>
      <c r="I42" s="172">
        <v>46158</v>
      </c>
      <c r="J42" s="72">
        <v>46158</v>
      </c>
      <c r="K42" s="134"/>
      <c r="L42" s="134"/>
      <c r="M42" s="134"/>
      <c r="N42" s="135" t="e">
        <f>_xlfn.XLOOKUP('Linhas Rápidas'!B42,COHVPI!A:A,COHVPI!I:I)</f>
        <v>#N/A</v>
      </c>
      <c r="O42" s="115" t="s">
        <v>21</v>
      </c>
      <c r="P42" s="256" t="s">
        <v>824</v>
      </c>
      <c r="Q42"/>
      <c r="R42" s="261" t="s">
        <v>575</v>
      </c>
      <c r="S42" s="264" t="s">
        <v>576</v>
      </c>
      <c r="T42" s="267">
        <v>1961394</v>
      </c>
      <c r="U42" s="270">
        <f>_xlfn.XLOOKUP(T42,COHVPI!A:A,COHVPI!F:F)</f>
        <v>0</v>
      </c>
      <c r="V42" s="273">
        <f>_xlfn.XLOOKUP(T42,COHVPI!A:A,COHVPI!I:I)</f>
        <v>46160</v>
      </c>
      <c r="W42" s="276">
        <f>X42/12</f>
        <v>9940</v>
      </c>
      <c r="X42" s="276">
        <f>29820*4</f>
        <v>119280</v>
      </c>
      <c r="Y42"/>
      <c r="Z42"/>
      <c r="AA42"/>
      <c r="AB42"/>
      <c r="AD42" t="e">
        <f>VLOOKUP(B42,COHVPI!A:N,14,0)</f>
        <v>#N/A</v>
      </c>
      <c r="AE42" s="95" t="e">
        <f>VLOOKUP(B42,COHVPI!A:E,5,0)</f>
        <v>#N/A</v>
      </c>
      <c r="AF42" s="95" t="e">
        <f t="shared" si="1"/>
        <v>#N/A</v>
      </c>
      <c r="AG42"/>
      <c r="AH42" s="67"/>
      <c r="AI42"/>
      <c r="AJ42" s="95"/>
    </row>
    <row r="43" spans="1:36" s="35" customFormat="1" ht="15.75" customHeight="1" x14ac:dyDescent="0.25">
      <c r="A43" s="98">
        <v>10</v>
      </c>
      <c r="B43" s="98">
        <v>1961566</v>
      </c>
      <c r="C43" s="73" t="s">
        <v>695</v>
      </c>
      <c r="D43" s="104">
        <v>9500</v>
      </c>
      <c r="E43" s="77" t="e">
        <f>_xlfn.XLOOKUP(A43,COHVPI!#REF!,COHVPI!E:E)</f>
        <v>#REF!</v>
      </c>
      <c r="F43" s="77" t="e">
        <f>_xlfn.XLOOKUP(B43,COHVPI!A:A,COHVPI!F:F)</f>
        <v>#N/A</v>
      </c>
      <c r="G43" s="74">
        <v>466342</v>
      </c>
      <c r="H43" s="111" t="s">
        <v>608</v>
      </c>
      <c r="I43" s="172">
        <v>46158</v>
      </c>
      <c r="J43" s="72">
        <v>46158</v>
      </c>
      <c r="K43" s="134"/>
      <c r="L43" s="134"/>
      <c r="M43" s="134"/>
      <c r="N43" s="135" t="e">
        <f>_xlfn.XLOOKUP('Linhas Rápidas'!B43,COHVPI!A:A,COHVPI!I:I)</f>
        <v>#N/A</v>
      </c>
      <c r="O43" s="115" t="s">
        <v>21</v>
      </c>
      <c r="P43" s="256" t="s">
        <v>824</v>
      </c>
      <c r="Q43"/>
      <c r="R43" s="262"/>
      <c r="S43" s="265"/>
      <c r="T43" s="268"/>
      <c r="U43" s="271"/>
      <c r="V43" s="274"/>
      <c r="W43" s="277"/>
      <c r="X43" s="277"/>
      <c r="Y43"/>
      <c r="Z43"/>
      <c r="AA43"/>
      <c r="AB43"/>
      <c r="AD43" t="e">
        <f>VLOOKUP(B43,COHVPI!A:N,14,0)</f>
        <v>#N/A</v>
      </c>
      <c r="AE43" s="95" t="e">
        <f>VLOOKUP(B43,COHVPI!A:E,5,0)</f>
        <v>#N/A</v>
      </c>
      <c r="AF43" s="95" t="e">
        <f t="shared" si="1"/>
        <v>#N/A</v>
      </c>
      <c r="AG43"/>
      <c r="AH43" s="67"/>
      <c r="AI43"/>
      <c r="AJ43" s="95"/>
    </row>
    <row r="44" spans="1:36" s="35" customFormat="1" ht="15.75" customHeight="1" x14ac:dyDescent="0.25">
      <c r="A44" s="98">
        <v>10</v>
      </c>
      <c r="B44" s="98">
        <v>1961567</v>
      </c>
      <c r="C44" s="73" t="s">
        <v>696</v>
      </c>
      <c r="D44" s="104">
        <v>9500</v>
      </c>
      <c r="E44" s="77" t="e">
        <f>_xlfn.XLOOKUP(A44,COHVPI!#REF!,COHVPI!E:E)</f>
        <v>#REF!</v>
      </c>
      <c r="F44" s="77" t="e">
        <f>_xlfn.XLOOKUP(B44,COHVPI!A:A,COHVPI!F:F)</f>
        <v>#N/A</v>
      </c>
      <c r="G44" s="74">
        <v>466342</v>
      </c>
      <c r="H44" s="111" t="s">
        <v>608</v>
      </c>
      <c r="I44" s="172">
        <v>46158</v>
      </c>
      <c r="J44" s="72">
        <v>46158</v>
      </c>
      <c r="K44" s="134"/>
      <c r="L44" s="134"/>
      <c r="M44" s="134"/>
      <c r="N44" s="135" t="e">
        <f>_xlfn.XLOOKUP('Linhas Rápidas'!B44,COHVPI!A:A,COHVPI!I:I)</f>
        <v>#N/A</v>
      </c>
      <c r="O44" s="115" t="s">
        <v>21</v>
      </c>
      <c r="P44" s="256" t="s">
        <v>824</v>
      </c>
      <c r="Q44"/>
      <c r="R44" s="262"/>
      <c r="S44" s="265"/>
      <c r="T44" s="268"/>
      <c r="U44" s="271" t="e">
        <f>_xlfn.XLOOKUP(T44,COHVPI!A:A,COHVPI!F:F)</f>
        <v>#N/A</v>
      </c>
      <c r="V44" s="274"/>
      <c r="W44" s="277"/>
      <c r="X44" s="277"/>
      <c r="Y44"/>
      <c r="Z44"/>
      <c r="AA44"/>
      <c r="AB44"/>
      <c r="AD44" t="e">
        <f>VLOOKUP(B44,COHVPI!A:N,14,0)</f>
        <v>#N/A</v>
      </c>
      <c r="AE44" s="95" t="e">
        <f>VLOOKUP(B44,COHVPI!A:E,5,0)</f>
        <v>#N/A</v>
      </c>
      <c r="AF44" s="95" t="e">
        <f t="shared" si="1"/>
        <v>#N/A</v>
      </c>
      <c r="AG44"/>
      <c r="AH44" s="67"/>
      <c r="AI44"/>
      <c r="AJ44" s="95"/>
    </row>
    <row r="45" spans="1:36" s="35" customFormat="1" ht="15.75" customHeight="1" x14ac:dyDescent="0.25">
      <c r="A45" s="98">
        <v>10</v>
      </c>
      <c r="B45" s="98">
        <v>1961568</v>
      </c>
      <c r="C45" s="73" t="s">
        <v>697</v>
      </c>
      <c r="D45" s="104">
        <v>9500</v>
      </c>
      <c r="E45" s="77" t="e">
        <f>_xlfn.XLOOKUP(A45,COHVPI!#REF!,COHVPI!E:E)</f>
        <v>#REF!</v>
      </c>
      <c r="F45" s="77" t="e">
        <f>_xlfn.XLOOKUP(B45,COHVPI!A:A,COHVPI!F:F)</f>
        <v>#N/A</v>
      </c>
      <c r="G45" s="74">
        <v>466342</v>
      </c>
      <c r="H45" s="111" t="s">
        <v>608</v>
      </c>
      <c r="I45" s="172">
        <v>46158</v>
      </c>
      <c r="J45" s="72">
        <v>46158</v>
      </c>
      <c r="K45" s="134"/>
      <c r="L45" s="134"/>
      <c r="M45" s="134"/>
      <c r="N45" s="135" t="e">
        <f>_xlfn.XLOOKUP('Linhas Rápidas'!B45,COHVPI!A:A,COHVPI!I:I)</f>
        <v>#N/A</v>
      </c>
      <c r="O45" s="115" t="s">
        <v>21</v>
      </c>
      <c r="P45" s="256" t="s">
        <v>824</v>
      </c>
      <c r="Q45"/>
      <c r="R45" s="263"/>
      <c r="S45" s="266"/>
      <c r="T45" s="269"/>
      <c r="U45" s="272"/>
      <c r="V45" s="275"/>
      <c r="W45" s="278"/>
      <c r="X45" s="278"/>
      <c r="Y45"/>
      <c r="Z45"/>
      <c r="AA45"/>
      <c r="AB45"/>
      <c r="AD45" t="e">
        <f>VLOOKUP(B45,COHVPI!A:N,14,0)</f>
        <v>#N/A</v>
      </c>
      <c r="AE45" s="95" t="e">
        <f>VLOOKUP(B45,COHVPI!A:E,5,0)</f>
        <v>#N/A</v>
      </c>
      <c r="AF45" s="95" t="e">
        <f t="shared" si="1"/>
        <v>#N/A</v>
      </c>
      <c r="AG45"/>
      <c r="AH45" s="67"/>
      <c r="AI45"/>
      <c r="AJ45" s="95"/>
    </row>
    <row r="46" spans="1:36" s="35" customFormat="1" ht="15.75" customHeight="1" x14ac:dyDescent="0.25">
      <c r="A46" s="98">
        <v>10</v>
      </c>
      <c r="B46" s="98">
        <v>1961346</v>
      </c>
      <c r="C46" s="73" t="s">
        <v>698</v>
      </c>
      <c r="D46" s="104">
        <v>9500</v>
      </c>
      <c r="E46" s="77" t="e">
        <f>_xlfn.XLOOKUP(A46,COHVPI!#REF!,COHVPI!E:E)</f>
        <v>#REF!</v>
      </c>
      <c r="F46" s="77" t="e">
        <f>_xlfn.XLOOKUP(B46,COHVPI!A:A,COHVPI!F:F)</f>
        <v>#N/A</v>
      </c>
      <c r="G46" s="74">
        <v>466344</v>
      </c>
      <c r="H46" s="111" t="s">
        <v>609</v>
      </c>
      <c r="I46" s="172">
        <v>46158</v>
      </c>
      <c r="J46" s="72">
        <v>46158</v>
      </c>
      <c r="K46" s="134"/>
      <c r="L46" s="134"/>
      <c r="M46" s="134"/>
      <c r="N46" s="135" t="e">
        <f>_xlfn.XLOOKUP('Linhas Rápidas'!B46,COHVPI!A:A,COHVPI!I:I)</f>
        <v>#N/A</v>
      </c>
      <c r="O46" s="115" t="s">
        <v>21</v>
      </c>
      <c r="P46" s="256" t="s">
        <v>826</v>
      </c>
      <c r="Q46"/>
      <c r="R46" s="261" t="s">
        <v>577</v>
      </c>
      <c r="S46" s="264" t="s">
        <v>578</v>
      </c>
      <c r="T46" s="267">
        <v>1961395</v>
      </c>
      <c r="U46" s="270">
        <f>_xlfn.XLOOKUP(T46,COHVPI!A:A,COHVPI!F:F)</f>
        <v>0</v>
      </c>
      <c r="V46" s="273">
        <f>_xlfn.XLOOKUP(T46,COHVPI!A:A,COHVPI!I:I)</f>
        <v>46161</v>
      </c>
      <c r="W46" s="276">
        <f>X46/12</f>
        <v>9940</v>
      </c>
      <c r="X46" s="276">
        <f>29820*4</f>
        <v>119280</v>
      </c>
      <c r="Y46"/>
      <c r="Z46"/>
      <c r="AA46"/>
      <c r="AB46"/>
      <c r="AD46" t="e">
        <f>VLOOKUP(B46,COHVPI!A:N,14,0)</f>
        <v>#N/A</v>
      </c>
      <c r="AE46" s="95" t="e">
        <f>VLOOKUP(B46,COHVPI!A:E,5,0)</f>
        <v>#N/A</v>
      </c>
      <c r="AF46" s="95" t="e">
        <f t="shared" si="1"/>
        <v>#N/A</v>
      </c>
      <c r="AG46"/>
      <c r="AH46" s="67"/>
      <c r="AI46"/>
      <c r="AJ46" s="95"/>
    </row>
    <row r="47" spans="1:36" s="35" customFormat="1" ht="15.75" customHeight="1" x14ac:dyDescent="0.25">
      <c r="A47" s="98">
        <v>10</v>
      </c>
      <c r="B47" s="98">
        <v>1961347</v>
      </c>
      <c r="C47" s="73" t="s">
        <v>699</v>
      </c>
      <c r="D47" s="104">
        <v>9500</v>
      </c>
      <c r="E47" s="77" t="e">
        <f>_xlfn.XLOOKUP(A47,COHVPI!#REF!,COHVPI!E:E)</f>
        <v>#REF!</v>
      </c>
      <c r="F47" s="77" t="e">
        <f>_xlfn.XLOOKUP(B47,COHVPI!A:A,COHVPI!F:F)</f>
        <v>#N/A</v>
      </c>
      <c r="G47" s="74">
        <v>466344</v>
      </c>
      <c r="H47" s="111" t="s">
        <v>609</v>
      </c>
      <c r="I47" s="172">
        <v>46158</v>
      </c>
      <c r="J47" s="72">
        <v>46158</v>
      </c>
      <c r="K47" s="134"/>
      <c r="L47" s="134"/>
      <c r="M47" s="134"/>
      <c r="N47" s="135" t="e">
        <f>_xlfn.XLOOKUP('Linhas Rápidas'!B47,COHVPI!A:A,COHVPI!I:I)</f>
        <v>#N/A</v>
      </c>
      <c r="O47" s="115" t="s">
        <v>21</v>
      </c>
      <c r="P47" s="256" t="s">
        <v>826</v>
      </c>
      <c r="Q47"/>
      <c r="R47" s="262"/>
      <c r="S47" s="265"/>
      <c r="T47" s="268"/>
      <c r="U47" s="271"/>
      <c r="V47" s="274"/>
      <c r="W47" s="277"/>
      <c r="X47" s="277"/>
      <c r="Y47"/>
      <c r="Z47"/>
      <c r="AA47"/>
      <c r="AB47"/>
      <c r="AD47" t="e">
        <f>VLOOKUP(B47,COHVPI!A:N,14,0)</f>
        <v>#N/A</v>
      </c>
      <c r="AE47" s="95" t="e">
        <f>VLOOKUP(B47,COHVPI!A:E,5,0)</f>
        <v>#N/A</v>
      </c>
      <c r="AF47" s="95" t="e">
        <f t="shared" si="1"/>
        <v>#N/A</v>
      </c>
      <c r="AG47"/>
      <c r="AH47" s="67"/>
      <c r="AI47"/>
      <c r="AJ47" s="95"/>
    </row>
    <row r="48" spans="1:36" s="35" customFormat="1" ht="15.75" customHeight="1" x14ac:dyDescent="0.25">
      <c r="A48" s="98">
        <v>10</v>
      </c>
      <c r="B48" s="98">
        <v>1961348</v>
      </c>
      <c r="C48" s="73" t="s">
        <v>700</v>
      </c>
      <c r="D48" s="104">
        <v>9500</v>
      </c>
      <c r="E48" s="77" t="e">
        <f>_xlfn.XLOOKUP(A48,COHVPI!#REF!,COHVPI!E:E)</f>
        <v>#REF!</v>
      </c>
      <c r="F48" s="77" t="e">
        <f>_xlfn.XLOOKUP(B48,COHVPI!A:A,COHVPI!F:F)</f>
        <v>#N/A</v>
      </c>
      <c r="G48" s="74">
        <v>466344</v>
      </c>
      <c r="H48" s="111" t="s">
        <v>609</v>
      </c>
      <c r="I48" s="172">
        <v>46160</v>
      </c>
      <c r="J48" s="72">
        <v>46160</v>
      </c>
      <c r="K48" s="134"/>
      <c r="L48" s="134"/>
      <c r="M48" s="134"/>
      <c r="N48" s="135" t="e">
        <f>_xlfn.XLOOKUP('Linhas Rápidas'!B48,COHVPI!A:A,COHVPI!I:I)</f>
        <v>#N/A</v>
      </c>
      <c r="O48" s="115" t="s">
        <v>21</v>
      </c>
      <c r="P48" s="256" t="s">
        <v>826</v>
      </c>
      <c r="Q48"/>
      <c r="R48" s="262"/>
      <c r="S48" s="265"/>
      <c r="T48" s="268"/>
      <c r="U48" s="271" t="e">
        <f>_xlfn.XLOOKUP(T48,COHVPI!A:A,COHVPI!F:F)</f>
        <v>#N/A</v>
      </c>
      <c r="V48" s="274"/>
      <c r="W48" s="277"/>
      <c r="X48" s="277"/>
      <c r="Y48"/>
      <c r="Z48"/>
      <c r="AA48"/>
      <c r="AB48"/>
      <c r="AD48" t="e">
        <f>VLOOKUP(B48,COHVPI!A:N,14,0)</f>
        <v>#N/A</v>
      </c>
      <c r="AE48" s="95" t="e">
        <f>VLOOKUP(B48,COHVPI!A:E,5,0)</f>
        <v>#N/A</v>
      </c>
      <c r="AF48" s="95" t="e">
        <f t="shared" si="1"/>
        <v>#N/A</v>
      </c>
      <c r="AG48"/>
      <c r="AH48" s="67"/>
      <c r="AI48"/>
      <c r="AJ48" s="95"/>
    </row>
    <row r="49" spans="1:36" s="35" customFormat="1" ht="15.75" customHeight="1" x14ac:dyDescent="0.25">
      <c r="A49" s="174">
        <v>10</v>
      </c>
      <c r="B49" s="174"/>
      <c r="C49" s="225"/>
      <c r="D49" s="223">
        <v>9500</v>
      </c>
      <c r="E49" s="224" t="e">
        <f>_xlfn.XLOOKUP(A49,COHVPI!#REF!,COHVPI!E:E)</f>
        <v>#REF!</v>
      </c>
      <c r="F49" s="224" t="e">
        <f>_xlfn.XLOOKUP(B49,COHVPI!A:A,COHVPI!F:F)</f>
        <v>#N/A</v>
      </c>
      <c r="G49" s="221">
        <v>466344</v>
      </c>
      <c r="H49" s="175" t="s">
        <v>609</v>
      </c>
      <c r="I49" s="172">
        <v>46160</v>
      </c>
      <c r="J49" s="134">
        <v>46160</v>
      </c>
      <c r="K49" s="134"/>
      <c r="L49" s="134"/>
      <c r="M49" s="134"/>
      <c r="N49" s="135">
        <f>_xlfn.XLOOKUP('Linhas Rápidas'!B49,COHVPI!A:A,COHVPI!I:I)</f>
        <v>0</v>
      </c>
      <c r="O49" s="226" t="s">
        <v>795</v>
      </c>
      <c r="P49" s="256" t="s">
        <v>826</v>
      </c>
      <c r="Q49"/>
      <c r="R49" s="263"/>
      <c r="S49" s="266"/>
      <c r="T49" s="269"/>
      <c r="U49" s="272"/>
      <c r="V49" s="275"/>
      <c r="W49" s="278"/>
      <c r="X49" s="278"/>
      <c r="Y49"/>
      <c r="Z49" s="174">
        <v>1961349</v>
      </c>
      <c r="AA49" s="225" t="s">
        <v>701</v>
      </c>
      <c r="AB49"/>
      <c r="AD49" t="e">
        <f>VLOOKUP(B49,COHVPI!A:N,14,0)</f>
        <v>#N/A</v>
      </c>
      <c r="AE49" s="95" t="e">
        <f>VLOOKUP(B49,COHVPI!A:E,5,0)</f>
        <v>#N/A</v>
      </c>
      <c r="AF49" s="95" t="e">
        <f t="shared" si="1"/>
        <v>#N/A</v>
      </c>
      <c r="AG49"/>
      <c r="AH49" s="67"/>
      <c r="AI49"/>
      <c r="AJ49" s="95"/>
    </row>
    <row r="50" spans="1:36" s="35" customFormat="1" ht="15.75" customHeight="1" thickBot="1" x14ac:dyDescent="0.3">
      <c r="A50" s="89"/>
      <c r="B50" s="13"/>
      <c r="C50" s="84"/>
      <c r="D50" s="70"/>
      <c r="E50" s="85"/>
      <c r="F50" s="85"/>
      <c r="G50" s="86"/>
      <c r="H50" s="113"/>
      <c r="I50" s="88"/>
      <c r="J50" s="113"/>
      <c r="K50" s="169"/>
      <c r="L50" s="169"/>
      <c r="M50" s="169"/>
      <c r="N50" s="88"/>
      <c r="O50" s="153"/>
      <c r="P50" s="187"/>
      <c r="Q50"/>
      <c r="R50" s="185"/>
      <c r="S50" s="186"/>
      <c r="T50" s="69"/>
      <c r="U50" s="70"/>
      <c r="V50" s="87"/>
      <c r="W50" s="70"/>
      <c r="X50" s="70"/>
      <c r="Y50"/>
      <c r="Z50"/>
      <c r="AA50"/>
      <c r="AB50"/>
      <c r="AD50" t="e">
        <f>VLOOKUP(B50,COHVPI!A:N,14,0)</f>
        <v>#N/A</v>
      </c>
      <c r="AE50" s="95" t="e">
        <f>VLOOKUP(B50,COHVPI!A:E,5,0)</f>
        <v>#N/A</v>
      </c>
      <c r="AF50" s="95" t="e">
        <f t="shared" ref="AF50:AF70" si="2">AE50-D50</f>
        <v>#N/A</v>
      </c>
      <c r="AG50"/>
      <c r="AH50" s="67"/>
      <c r="AI50"/>
      <c r="AJ50" s="95"/>
    </row>
    <row r="51" spans="1:36" s="35" customFormat="1" ht="15.75" customHeight="1" thickBot="1" x14ac:dyDescent="0.3">
      <c r="A51" s="53"/>
      <c r="B51" s="53"/>
      <c r="C51" s="53"/>
      <c r="D51" s="53"/>
      <c r="E51" s="53"/>
      <c r="F51" s="53"/>
      <c r="G51" s="53"/>
      <c r="H51"/>
      <c r="I51" s="53"/>
      <c r="J51"/>
      <c r="K51"/>
      <c r="L51"/>
      <c r="M51"/>
      <c r="N51" s="53"/>
      <c r="O51" s="154"/>
      <c r="P51" s="55"/>
      <c r="Q51"/>
      <c r="R51" s="54"/>
      <c r="S51" s="55"/>
      <c r="T51" s="54"/>
      <c r="U51" s="56"/>
      <c r="V51" s="56"/>
      <c r="W51" s="56"/>
      <c r="X51" s="56"/>
      <c r="Y51"/>
      <c r="Z51"/>
      <c r="AA51"/>
      <c r="AB51"/>
      <c r="AD51" t="e">
        <f>VLOOKUP(B51,COHVPI!A:N,14,0)</f>
        <v>#N/A</v>
      </c>
      <c r="AE51" s="95" t="e">
        <f>VLOOKUP(B51,COHVPI!A:E,5,0)</f>
        <v>#N/A</v>
      </c>
      <c r="AF51" s="95" t="e">
        <f t="shared" si="2"/>
        <v>#N/A</v>
      </c>
      <c r="AI51"/>
      <c r="AJ51" s="95"/>
    </row>
    <row r="52" spans="1:36" ht="26.25" customHeight="1" thickBot="1" x14ac:dyDescent="0.3">
      <c r="A52" s="320" t="s">
        <v>491</v>
      </c>
      <c r="B52" s="320"/>
      <c r="C52" s="320"/>
      <c r="D52" s="320"/>
      <c r="E52" s="320"/>
      <c r="F52" s="320"/>
      <c r="G52" s="320"/>
      <c r="H52" s="320"/>
      <c r="I52" s="320"/>
      <c r="J52" s="320"/>
      <c r="K52" s="320"/>
      <c r="L52" s="320"/>
      <c r="M52" s="320"/>
      <c r="N52" s="320"/>
      <c r="O52" s="320"/>
      <c r="P52" s="320"/>
      <c r="R52" s="321" t="s">
        <v>15</v>
      </c>
      <c r="S52" s="322"/>
      <c r="T52" s="322"/>
      <c r="U52" s="322"/>
      <c r="V52" s="322"/>
      <c r="W52" s="322"/>
      <c r="X52" s="322"/>
      <c r="Z52"/>
      <c r="AA52"/>
      <c r="AB52"/>
      <c r="AD52" t="e">
        <f>VLOOKUP(B52,COHVPI!A:N,14,0)</f>
        <v>#N/A</v>
      </c>
      <c r="AE52" s="95" t="e">
        <f>VLOOKUP(B52,COHVPI!A:E,5,0)</f>
        <v>#N/A</v>
      </c>
      <c r="AF52" s="95" t="e">
        <f t="shared" si="2"/>
        <v>#N/A</v>
      </c>
      <c r="AJ52" s="95"/>
    </row>
    <row r="53" spans="1:36" ht="28.5" customHeight="1" x14ac:dyDescent="0.25">
      <c r="A53" s="10" t="s">
        <v>489</v>
      </c>
      <c r="B53" s="10" t="s">
        <v>496</v>
      </c>
      <c r="C53" s="10" t="s">
        <v>3</v>
      </c>
      <c r="D53" s="11" t="s">
        <v>4</v>
      </c>
      <c r="E53" s="139" t="s">
        <v>778</v>
      </c>
      <c r="F53" s="139" t="s">
        <v>232</v>
      </c>
      <c r="G53" s="9" t="s">
        <v>2</v>
      </c>
      <c r="H53" s="9" t="s">
        <v>10</v>
      </c>
      <c r="I53" s="20" t="s">
        <v>507</v>
      </c>
      <c r="J53" s="20" t="s">
        <v>506</v>
      </c>
      <c r="K53" s="168" t="s">
        <v>515</v>
      </c>
      <c r="L53" s="168" t="s">
        <v>514</v>
      </c>
      <c r="M53" s="168" t="s">
        <v>513</v>
      </c>
      <c r="N53" s="109" t="s">
        <v>483</v>
      </c>
      <c r="O53" s="165" t="s">
        <v>5</v>
      </c>
      <c r="P53" s="142" t="s">
        <v>821</v>
      </c>
      <c r="Q53" s="166"/>
      <c r="R53" s="18" t="s">
        <v>12</v>
      </c>
      <c r="S53" s="110" t="s">
        <v>13</v>
      </c>
      <c r="T53" s="9" t="s">
        <v>11</v>
      </c>
      <c r="U53" s="141" t="s">
        <v>232</v>
      </c>
      <c r="V53" s="108" t="s">
        <v>483</v>
      </c>
      <c r="W53" s="11" t="s">
        <v>14</v>
      </c>
      <c r="X53" s="11" t="s">
        <v>265</v>
      </c>
      <c r="Z53"/>
      <c r="AA53"/>
      <c r="AB53"/>
      <c r="AD53" t="e">
        <f>VLOOKUP(B53,COHVPI!A:N,14,0)</f>
        <v>#N/A</v>
      </c>
      <c r="AE53" s="95" t="e">
        <f>VLOOKUP(B53,COHVPI!A:E,5,0)</f>
        <v>#N/A</v>
      </c>
      <c r="AF53" s="95" t="e">
        <f t="shared" si="2"/>
        <v>#N/A</v>
      </c>
      <c r="AJ53" s="95"/>
    </row>
    <row r="54" spans="1:36" s="35" customFormat="1" ht="15.75" customHeight="1" thickBot="1" x14ac:dyDescent="0.3">
      <c r="A54" s="178"/>
      <c r="B54" s="179"/>
      <c r="C54" s="180"/>
      <c r="D54" s="82"/>
      <c r="E54" s="82"/>
      <c r="F54" s="82"/>
      <c r="G54" s="81"/>
      <c r="H54" s="145"/>
      <c r="I54" s="107"/>
      <c r="J54" s="107"/>
      <c r="K54" s="170"/>
      <c r="L54" s="170"/>
      <c r="M54" s="170"/>
      <c r="N54" s="170"/>
      <c r="O54" s="181"/>
      <c r="P54" s="124"/>
      <c r="Q54"/>
      <c r="R54" s="80"/>
      <c r="S54" s="145"/>
      <c r="T54" s="81"/>
      <c r="U54" s="82"/>
      <c r="V54" s="83"/>
      <c r="W54" s="82"/>
      <c r="X54" s="83"/>
      <c r="Y54"/>
      <c r="Z54"/>
      <c r="AA54"/>
      <c r="AB54"/>
      <c r="AD54" t="e">
        <f>VLOOKUP(B54,COHVPI!A:N,14,0)</f>
        <v>#N/A</v>
      </c>
      <c r="AE54" s="95" t="e">
        <f>VLOOKUP(B54,COHVPI!A:E,5,0)</f>
        <v>#N/A</v>
      </c>
      <c r="AF54" s="95" t="e">
        <f t="shared" si="2"/>
        <v>#N/A</v>
      </c>
      <c r="AI54"/>
      <c r="AJ54" s="95"/>
    </row>
    <row r="55" spans="1:36" s="35" customFormat="1" ht="15.75" customHeight="1" thickBot="1" x14ac:dyDescent="0.3">
      <c r="A55" s="24"/>
      <c r="B55" s="120"/>
      <c r="C55" s="120"/>
      <c r="D55" s="120"/>
      <c r="E55" s="120"/>
      <c r="F55" s="120"/>
      <c r="G55" s="125"/>
      <c r="H55" s="19"/>
      <c r="I55" s="126"/>
      <c r="J55"/>
      <c r="K55"/>
      <c r="L55"/>
      <c r="M55"/>
      <c r="N55" s="126"/>
      <c r="O55" s="154"/>
      <c r="P55" s="53"/>
      <c r="Q55"/>
      <c r="R55" s="121"/>
      <c r="S55" s="121"/>
      <c r="T55" s="125"/>
      <c r="U55" s="120"/>
      <c r="V55" s="120"/>
      <c r="W55" s="120"/>
      <c r="X55" s="120"/>
      <c r="Y55"/>
      <c r="Z55"/>
      <c r="AA55"/>
      <c r="AB55"/>
      <c r="AD55" t="e">
        <f>VLOOKUP(B55,COHVPI!A:N,14,0)</f>
        <v>#N/A</v>
      </c>
      <c r="AE55" s="95" t="e">
        <f>VLOOKUP(B55,COHVPI!A:E,5,0)</f>
        <v>#N/A</v>
      </c>
      <c r="AF55" s="95" t="e">
        <f t="shared" si="2"/>
        <v>#N/A</v>
      </c>
      <c r="AI55"/>
      <c r="AJ55" s="95"/>
    </row>
    <row r="56" spans="1:36" ht="27" customHeight="1" thickBot="1" x14ac:dyDescent="0.3">
      <c r="A56" s="317" t="s">
        <v>16</v>
      </c>
      <c r="B56" s="317"/>
      <c r="C56" s="317"/>
      <c r="D56" s="317"/>
      <c r="E56" s="317"/>
      <c r="F56" s="317"/>
      <c r="G56" s="317"/>
      <c r="H56" s="317"/>
      <c r="I56" s="317"/>
      <c r="J56" s="317"/>
      <c r="K56" s="317"/>
      <c r="L56" s="317"/>
      <c r="M56" s="317"/>
      <c r="N56" s="317"/>
      <c r="O56" s="317"/>
      <c r="P56" s="317"/>
      <c r="R56" s="318" t="s">
        <v>16</v>
      </c>
      <c r="S56" s="319"/>
      <c r="T56" s="319"/>
      <c r="U56" s="319"/>
      <c r="V56" s="319"/>
      <c r="W56" s="319"/>
      <c r="X56" s="319"/>
      <c r="Z56"/>
      <c r="AA56"/>
      <c r="AB56"/>
      <c r="AD56" t="e">
        <f>VLOOKUP(B56,COHVPI!A:N,14,0)</f>
        <v>#N/A</v>
      </c>
      <c r="AE56" s="95" t="e">
        <f>VLOOKUP(B56,COHVPI!A:E,5,0)</f>
        <v>#N/A</v>
      </c>
      <c r="AF56" s="95" t="e">
        <f t="shared" si="2"/>
        <v>#N/A</v>
      </c>
      <c r="AJ56" s="95"/>
    </row>
    <row r="57" spans="1:36" s="27" customFormat="1" ht="31.5" x14ac:dyDescent="0.25">
      <c r="A57" s="10" t="s">
        <v>489</v>
      </c>
      <c r="B57" s="10" t="s">
        <v>11</v>
      </c>
      <c r="C57" s="10" t="s">
        <v>3</v>
      </c>
      <c r="D57" s="11" t="s">
        <v>4</v>
      </c>
      <c r="E57" s="139" t="s">
        <v>778</v>
      </c>
      <c r="F57" s="139" t="s">
        <v>232</v>
      </c>
      <c r="G57" s="9" t="s">
        <v>2</v>
      </c>
      <c r="H57" s="9" t="s">
        <v>10</v>
      </c>
      <c r="I57" s="20" t="s">
        <v>507</v>
      </c>
      <c r="J57" s="20" t="s">
        <v>506</v>
      </c>
      <c r="K57" s="168" t="s">
        <v>515</v>
      </c>
      <c r="L57" s="168" t="s">
        <v>514</v>
      </c>
      <c r="M57" s="168" t="s">
        <v>513</v>
      </c>
      <c r="N57" s="109" t="s">
        <v>483</v>
      </c>
      <c r="O57" s="165" t="s">
        <v>5</v>
      </c>
      <c r="P57" s="142" t="s">
        <v>821</v>
      </c>
      <c r="Q57" s="166"/>
      <c r="R57" s="18" t="s">
        <v>12</v>
      </c>
      <c r="S57" s="110" t="s">
        <v>13</v>
      </c>
      <c r="T57" s="9" t="s">
        <v>11</v>
      </c>
      <c r="U57" s="141" t="s">
        <v>232</v>
      </c>
      <c r="V57" s="108" t="s">
        <v>483</v>
      </c>
      <c r="W57" s="11" t="s">
        <v>14</v>
      </c>
      <c r="X57" s="11" t="s">
        <v>265</v>
      </c>
      <c r="Y57"/>
      <c r="Z57"/>
      <c r="AA57"/>
      <c r="AB57"/>
      <c r="AD57" t="e">
        <f>VLOOKUP(B57,COHVPI!A:N,14,0)</f>
        <v>#N/A</v>
      </c>
      <c r="AE57" s="95" t="e">
        <f>VLOOKUP(B57,COHVPI!A:E,5,0)</f>
        <v>#N/A</v>
      </c>
      <c r="AF57" s="95" t="e">
        <f t="shared" si="2"/>
        <v>#N/A</v>
      </c>
      <c r="AI57"/>
      <c r="AJ57" s="95"/>
    </row>
    <row r="58" spans="1:36" s="35" customFormat="1" ht="15.75" customHeight="1" thickBot="1" x14ac:dyDescent="0.3">
      <c r="A58" s="178"/>
      <c r="B58" s="179"/>
      <c r="C58" s="180"/>
      <c r="D58" s="82"/>
      <c r="E58" s="82"/>
      <c r="F58" s="82"/>
      <c r="G58" s="81"/>
      <c r="H58" s="145"/>
      <c r="I58" s="107"/>
      <c r="J58" s="107"/>
      <c r="K58" s="170"/>
      <c r="L58" s="170"/>
      <c r="M58" s="170"/>
      <c r="N58" s="170"/>
      <c r="O58" s="181"/>
      <c r="P58" s="124"/>
      <c r="Q58"/>
      <c r="R58" s="80"/>
      <c r="S58" s="145"/>
      <c r="T58" s="81"/>
      <c r="U58" s="82"/>
      <c r="V58" s="83"/>
      <c r="W58" s="82"/>
      <c r="X58" s="83"/>
      <c r="Y58"/>
      <c r="Z58"/>
      <c r="AA58"/>
      <c r="AB58"/>
      <c r="AD58" t="e">
        <f>VLOOKUP(B58,COHVPI!A:N,14,0)</f>
        <v>#N/A</v>
      </c>
      <c r="AE58" s="95" t="e">
        <f>VLOOKUP(B58,COHVPI!A:E,5,0)</f>
        <v>#N/A</v>
      </c>
      <c r="AF58" s="95" t="e">
        <f t="shared" si="2"/>
        <v>#N/A</v>
      </c>
      <c r="AI58"/>
      <c r="AJ58" s="95"/>
    </row>
    <row r="59" spans="1:36" s="27" customFormat="1" ht="15.75" customHeight="1" thickBot="1" x14ac:dyDescent="0.3">
      <c r="A59" s="5"/>
      <c r="B59" s="5"/>
      <c r="C59" s="5"/>
      <c r="D59" s="5"/>
      <c r="E59" s="5"/>
      <c r="F59" s="5"/>
      <c r="G59" s="5"/>
      <c r="H59"/>
      <c r="I59"/>
      <c r="J59"/>
      <c r="K59"/>
      <c r="L59"/>
      <c r="M59"/>
      <c r="N59" s="103"/>
      <c r="O59" s="156"/>
      <c r="P59" s="5"/>
      <c r="Q59"/>
      <c r="R59" s="103"/>
      <c r="S59" s="103"/>
      <c r="T59" s="103"/>
      <c r="U59" s="3"/>
      <c r="V59" s="119"/>
      <c r="W59" s="3"/>
      <c r="X59" s="3"/>
      <c r="Y59"/>
      <c r="Z59"/>
      <c r="AA59"/>
      <c r="AB59"/>
      <c r="AD59" t="e">
        <f>VLOOKUP(B59,COHVPI!A:N,14,0)</f>
        <v>#N/A</v>
      </c>
      <c r="AE59" s="95" t="e">
        <f>VLOOKUP(B59,COHVPI!A:E,5,0)</f>
        <v>#N/A</v>
      </c>
      <c r="AF59" s="95" t="e">
        <f t="shared" si="2"/>
        <v>#N/A</v>
      </c>
      <c r="AI59"/>
      <c r="AJ59" s="95"/>
    </row>
    <row r="60" spans="1:36" ht="27" customHeight="1" thickBot="1" x14ac:dyDescent="0.3">
      <c r="A60" s="320" t="s">
        <v>17</v>
      </c>
      <c r="B60" s="320"/>
      <c r="C60" s="320"/>
      <c r="D60" s="320"/>
      <c r="E60" s="320"/>
      <c r="F60" s="320"/>
      <c r="G60" s="320"/>
      <c r="H60" s="320"/>
      <c r="I60" s="320"/>
      <c r="J60" s="320"/>
      <c r="K60" s="320"/>
      <c r="L60" s="320"/>
      <c r="M60" s="320"/>
      <c r="N60" s="320"/>
      <c r="O60" s="320"/>
      <c r="P60" s="320"/>
      <c r="R60" s="321" t="s">
        <v>17</v>
      </c>
      <c r="S60" s="322"/>
      <c r="T60" s="322"/>
      <c r="U60" s="322"/>
      <c r="V60" s="322"/>
      <c r="W60" s="322"/>
      <c r="X60" s="322"/>
      <c r="Z60"/>
      <c r="AA60"/>
      <c r="AB60"/>
      <c r="AD60" t="e">
        <f>VLOOKUP(B60,COHVPI!A:N,14,0)</f>
        <v>#N/A</v>
      </c>
      <c r="AE60" s="95" t="e">
        <f>VLOOKUP(B60,COHVPI!A:E,5,0)</f>
        <v>#N/A</v>
      </c>
      <c r="AF60" s="95" t="e">
        <f t="shared" si="2"/>
        <v>#N/A</v>
      </c>
      <c r="AJ60" s="95"/>
    </row>
    <row r="61" spans="1:36" ht="31.5" x14ac:dyDescent="0.25">
      <c r="A61" s="10" t="s">
        <v>489</v>
      </c>
      <c r="B61" s="10" t="s">
        <v>11</v>
      </c>
      <c r="C61" s="10" t="s">
        <v>3</v>
      </c>
      <c r="D61" s="11" t="s">
        <v>4</v>
      </c>
      <c r="E61" s="139" t="s">
        <v>778</v>
      </c>
      <c r="F61" s="139" t="s">
        <v>232</v>
      </c>
      <c r="G61" s="9" t="s">
        <v>2</v>
      </c>
      <c r="H61" s="9" t="s">
        <v>10</v>
      </c>
      <c r="I61" s="20" t="s">
        <v>507</v>
      </c>
      <c r="J61" s="20" t="s">
        <v>506</v>
      </c>
      <c r="K61" s="168" t="s">
        <v>515</v>
      </c>
      <c r="L61" s="168" t="s">
        <v>514</v>
      </c>
      <c r="M61" s="168" t="s">
        <v>513</v>
      </c>
      <c r="N61" s="109" t="s">
        <v>483</v>
      </c>
      <c r="O61" s="165" t="s">
        <v>5</v>
      </c>
      <c r="P61" s="142" t="s">
        <v>821</v>
      </c>
      <c r="Q61" s="166"/>
      <c r="R61" s="18" t="s">
        <v>12</v>
      </c>
      <c r="S61" s="110" t="s">
        <v>13</v>
      </c>
      <c r="T61" s="9" t="s">
        <v>11</v>
      </c>
      <c r="U61" s="141" t="s">
        <v>232</v>
      </c>
      <c r="V61" s="108" t="s">
        <v>484</v>
      </c>
      <c r="W61" s="11" t="s">
        <v>14</v>
      </c>
      <c r="X61" s="11" t="s">
        <v>265</v>
      </c>
      <c r="Z61"/>
      <c r="AA61"/>
      <c r="AB61"/>
      <c r="AD61" t="e">
        <f>VLOOKUP(B61,COHVPI!A:N,14,0)</f>
        <v>#N/A</v>
      </c>
      <c r="AE61" s="95" t="e">
        <f>VLOOKUP(B61,COHVPI!A:E,5,0)</f>
        <v>#N/A</v>
      </c>
      <c r="AF61" s="95" t="e">
        <f t="shared" si="2"/>
        <v>#N/A</v>
      </c>
      <c r="AJ61" s="95"/>
    </row>
    <row r="62" spans="1:36" s="35" customFormat="1" ht="16.5" hidden="1" customHeight="1" x14ac:dyDescent="0.25">
      <c r="A62" s="193">
        <v>12</v>
      </c>
      <c r="B62" s="193">
        <v>1961045</v>
      </c>
      <c r="C62" s="194" t="s">
        <v>616</v>
      </c>
      <c r="D62" s="131">
        <v>9500</v>
      </c>
      <c r="E62" s="224">
        <f>_xlfn.XLOOKUP(B62,COHVPI!A:A,COHVPI!E:E,0,0,1)</f>
        <v>0</v>
      </c>
      <c r="F62" s="224" t="e">
        <f>_xlfn.XLOOKUP(B62,COHVPI!A:A,COHVPI!F:F)</f>
        <v>#N/A</v>
      </c>
      <c r="G62" s="221">
        <v>460879</v>
      </c>
      <c r="H62" s="175" t="s">
        <v>538</v>
      </c>
      <c r="I62" s="134">
        <v>46148</v>
      </c>
      <c r="J62" s="134">
        <v>46150</v>
      </c>
      <c r="K62" s="134"/>
      <c r="L62" s="134"/>
      <c r="M62" s="134"/>
      <c r="N62" s="197" t="e">
        <f>_xlfn.XLOOKUP('Linhas Rápidas'!B62,COHVPI!A:A,COHVPI!I:I)</f>
        <v>#N/A</v>
      </c>
      <c r="O62" s="222" t="s">
        <v>21</v>
      </c>
      <c r="P62" s="258" t="s">
        <v>832</v>
      </c>
      <c r="R62" s="299" t="s">
        <v>80</v>
      </c>
      <c r="S62" s="302" t="s">
        <v>81</v>
      </c>
      <c r="T62" s="305">
        <v>1961040</v>
      </c>
      <c r="U62" s="308">
        <f>_xlfn.XLOOKUP(T62,COHVPI!A:A,COHVPI!F:F)</f>
        <v>0</v>
      </c>
      <c r="V62" s="311">
        <f>_xlfn.XLOOKUP(T62,COHVPI!A:A,COHVPI!I:I)</f>
        <v>46148</v>
      </c>
      <c r="W62" s="314">
        <f>X62/24</f>
        <v>7829.5</v>
      </c>
      <c r="X62" s="314">
        <v>187908</v>
      </c>
      <c r="AD62" s="35" t="e">
        <f>VLOOKUP(B62,COHVPI!A:N,14,0)</f>
        <v>#N/A</v>
      </c>
      <c r="AE62" s="173" t="e">
        <f>VLOOKUP(B62,COHVPI!A:E,5,0)</f>
        <v>#N/A</v>
      </c>
      <c r="AF62" s="173" t="e">
        <f t="shared" si="2"/>
        <v>#N/A</v>
      </c>
      <c r="AH62" s="173"/>
      <c r="AJ62" s="173"/>
    </row>
    <row r="63" spans="1:36" s="35" customFormat="1" ht="16.5" hidden="1" customHeight="1" x14ac:dyDescent="0.25">
      <c r="A63" s="193">
        <v>12</v>
      </c>
      <c r="B63" s="193">
        <v>1961046</v>
      </c>
      <c r="C63" s="194" t="s">
        <v>617</v>
      </c>
      <c r="D63" s="131">
        <v>9500</v>
      </c>
      <c r="E63" s="224">
        <f>_xlfn.XLOOKUP(B63,COHVPI!A:A,COHVPI!E:E,0,0,1)</f>
        <v>0</v>
      </c>
      <c r="F63" s="224" t="e">
        <f>_xlfn.XLOOKUP(B63,COHVPI!A:A,COHVPI!F:F)</f>
        <v>#N/A</v>
      </c>
      <c r="G63" s="221">
        <v>460879</v>
      </c>
      <c r="H63" s="175" t="s">
        <v>538</v>
      </c>
      <c r="I63" s="134">
        <v>46148</v>
      </c>
      <c r="J63" s="134">
        <v>46150</v>
      </c>
      <c r="K63" s="134"/>
      <c r="L63" s="134"/>
      <c r="M63" s="134"/>
      <c r="N63" s="197" t="e">
        <f>_xlfn.XLOOKUP('Linhas Rápidas'!B63,COHVPI!A:A,COHVPI!I:I)</f>
        <v>#N/A</v>
      </c>
      <c r="O63" s="222" t="s">
        <v>21</v>
      </c>
      <c r="P63" s="258" t="s">
        <v>832</v>
      </c>
      <c r="R63" s="300"/>
      <c r="S63" s="303"/>
      <c r="T63" s="306"/>
      <c r="U63" s="309"/>
      <c r="V63" s="312"/>
      <c r="W63" s="315"/>
      <c r="X63" s="315"/>
      <c r="AD63" s="35" t="e">
        <f>VLOOKUP(B63,COHVPI!A:N,14,0)</f>
        <v>#N/A</v>
      </c>
      <c r="AE63" s="173" t="e">
        <f>VLOOKUP(B63,COHVPI!A:E,5,0)</f>
        <v>#N/A</v>
      </c>
      <c r="AF63" s="173" t="e">
        <f t="shared" si="2"/>
        <v>#N/A</v>
      </c>
      <c r="AH63" s="173"/>
      <c r="AJ63" s="173"/>
    </row>
    <row r="64" spans="1:36" s="35" customFormat="1" ht="16.5" hidden="1" customHeight="1" x14ac:dyDescent="0.25">
      <c r="A64" s="193">
        <v>12</v>
      </c>
      <c r="B64" s="193">
        <v>1961047</v>
      </c>
      <c r="C64" s="194" t="s">
        <v>618</v>
      </c>
      <c r="D64" s="131">
        <v>9500</v>
      </c>
      <c r="E64" s="224">
        <f>_xlfn.XLOOKUP(B64,COHVPI!A:A,COHVPI!E:E,0,0,1)</f>
        <v>0</v>
      </c>
      <c r="F64" s="224" t="e">
        <f>_xlfn.XLOOKUP(B64,COHVPI!A:A,COHVPI!F:F)</f>
        <v>#N/A</v>
      </c>
      <c r="G64" s="221">
        <v>460879</v>
      </c>
      <c r="H64" s="175" t="s">
        <v>538</v>
      </c>
      <c r="I64" s="134">
        <v>46148</v>
      </c>
      <c r="J64" s="134">
        <v>46152</v>
      </c>
      <c r="K64" s="134"/>
      <c r="L64" s="134"/>
      <c r="M64" s="134"/>
      <c r="N64" s="197" t="e">
        <f>_xlfn.XLOOKUP('Linhas Rápidas'!B64,COHVPI!A:A,COHVPI!I:I)</f>
        <v>#N/A</v>
      </c>
      <c r="O64" s="222" t="s">
        <v>21</v>
      </c>
      <c r="P64" s="258" t="s">
        <v>832</v>
      </c>
      <c r="R64" s="300"/>
      <c r="S64" s="303"/>
      <c r="T64" s="306"/>
      <c r="U64" s="309">
        <f>_xlfn.XLOOKUP(T64,COHVPI!A:A,COHVPI!F:F)</f>
        <v>0</v>
      </c>
      <c r="V64" s="312"/>
      <c r="W64" s="315"/>
      <c r="X64" s="315"/>
      <c r="AD64" s="35" t="e">
        <f>VLOOKUP(B64,COHVPI!A:N,14,0)</f>
        <v>#N/A</v>
      </c>
      <c r="AE64" s="173" t="e">
        <f>VLOOKUP(B64,COHVPI!A:E,5,0)</f>
        <v>#N/A</v>
      </c>
      <c r="AF64" s="173" t="e">
        <f t="shared" si="2"/>
        <v>#N/A</v>
      </c>
      <c r="AH64" s="173"/>
      <c r="AJ64" s="173"/>
    </row>
    <row r="65" spans="1:36" s="35" customFormat="1" ht="16.5" hidden="1" customHeight="1" x14ac:dyDescent="0.25">
      <c r="A65" s="193">
        <v>12</v>
      </c>
      <c r="B65" s="193">
        <v>1961048</v>
      </c>
      <c r="C65" s="194" t="s">
        <v>619</v>
      </c>
      <c r="D65" s="131">
        <v>9500</v>
      </c>
      <c r="E65" s="224">
        <f>_xlfn.XLOOKUP(B65,COHVPI!A:A,COHVPI!E:E,0,0,1)</f>
        <v>0</v>
      </c>
      <c r="F65" s="224" t="e">
        <f>_xlfn.XLOOKUP(B65,COHVPI!A:A,COHVPI!F:F)</f>
        <v>#N/A</v>
      </c>
      <c r="G65" s="221">
        <v>460879</v>
      </c>
      <c r="H65" s="175" t="s">
        <v>538</v>
      </c>
      <c r="I65" s="134">
        <v>46148</v>
      </c>
      <c r="J65" s="134">
        <v>46152</v>
      </c>
      <c r="K65" s="134"/>
      <c r="L65" s="134"/>
      <c r="M65" s="134"/>
      <c r="N65" s="197" t="e">
        <f>_xlfn.XLOOKUP('Linhas Rápidas'!B65,COHVPI!A:A,COHVPI!I:I)</f>
        <v>#N/A</v>
      </c>
      <c r="O65" s="222" t="s">
        <v>21</v>
      </c>
      <c r="P65" s="258" t="s">
        <v>832</v>
      </c>
      <c r="R65" s="301"/>
      <c r="S65" s="304"/>
      <c r="T65" s="307"/>
      <c r="U65" s="310"/>
      <c r="V65" s="313"/>
      <c r="W65" s="316"/>
      <c r="X65" s="316"/>
      <c r="AD65" s="35" t="e">
        <f>VLOOKUP(B65,COHVPI!A:N,14,0)</f>
        <v>#N/A</v>
      </c>
      <c r="AE65" s="173" t="e">
        <f>VLOOKUP(B65,COHVPI!A:E,5,0)</f>
        <v>#N/A</v>
      </c>
      <c r="AF65" s="173" t="e">
        <f t="shared" si="2"/>
        <v>#N/A</v>
      </c>
      <c r="AH65" s="173"/>
      <c r="AJ65" s="173"/>
    </row>
    <row r="66" spans="1:36" s="27" customFormat="1" ht="16.5" customHeight="1" x14ac:dyDescent="0.25">
      <c r="A66" s="91"/>
      <c r="B66" s="91"/>
      <c r="C66" s="92"/>
      <c r="D66" s="100"/>
      <c r="E66" s="100"/>
      <c r="F66" s="100"/>
      <c r="G66" s="93"/>
      <c r="H66" s="112" t="s">
        <v>834</v>
      </c>
      <c r="I66" s="94"/>
      <c r="J66" s="94"/>
      <c r="K66" s="94"/>
      <c r="L66" s="94"/>
      <c r="M66" s="94"/>
      <c r="N66" s="101"/>
      <c r="O66" s="177"/>
      <c r="P66" s="94"/>
      <c r="Q66"/>
      <c r="R66" s="282" t="s">
        <v>779</v>
      </c>
      <c r="S66" s="283"/>
      <c r="T66" s="283"/>
      <c r="U66" s="283"/>
      <c r="V66" s="283"/>
      <c r="W66" s="283"/>
      <c r="X66" s="283"/>
      <c r="Y66"/>
      <c r="Z66"/>
      <c r="AA66"/>
      <c r="AB66"/>
      <c r="AD66" t="e">
        <f>VLOOKUP(B66,COHVPI!A:N,14,0)</f>
        <v>#N/A</v>
      </c>
      <c r="AE66" s="95" t="e">
        <f>VLOOKUP(B66,COHVPI!A:E,5,0)</f>
        <v>#N/A</v>
      </c>
      <c r="AF66" s="95" t="e">
        <f t="shared" si="2"/>
        <v>#N/A</v>
      </c>
      <c r="AG66"/>
      <c r="AH66" s="67"/>
      <c r="AI66"/>
      <c r="AJ66" s="95"/>
    </row>
    <row r="67" spans="1:36" s="27" customFormat="1" ht="16.5" customHeight="1" x14ac:dyDescent="0.25">
      <c r="A67" s="78">
        <v>12</v>
      </c>
      <c r="B67" s="78">
        <v>1961531</v>
      </c>
      <c r="C67" s="79" t="s">
        <v>711</v>
      </c>
      <c r="D67" s="26">
        <v>9500</v>
      </c>
      <c r="E67" s="77" t="e">
        <f>_xlfn.XLOOKUP(A67,COHVPI!#REF!,COHVPI!E:E)</f>
        <v>#REF!</v>
      </c>
      <c r="F67" s="77" t="e">
        <f>_xlfn.XLOOKUP(B67,COHVPI!A:A,COHVPI!F:F)</f>
        <v>#N/A</v>
      </c>
      <c r="G67" s="74">
        <v>460881</v>
      </c>
      <c r="H67" s="111" t="s">
        <v>485</v>
      </c>
      <c r="I67" s="172">
        <v>46149</v>
      </c>
      <c r="J67" s="134">
        <v>46150</v>
      </c>
      <c r="K67" s="72"/>
      <c r="L67" s="72"/>
      <c r="M67" s="72"/>
      <c r="N67" s="105" t="e">
        <f>_xlfn.XLOOKUP('Linhas Rápidas'!B67,COHVPI!A:A,COHVPI!I:I)</f>
        <v>#N/A</v>
      </c>
      <c r="O67" s="176" t="s">
        <v>21</v>
      </c>
      <c r="P67" s="257" t="s">
        <v>820</v>
      </c>
      <c r="Q67"/>
      <c r="R67" s="261" t="s">
        <v>112</v>
      </c>
      <c r="S67" s="281" t="s">
        <v>113</v>
      </c>
      <c r="T67" s="267">
        <v>1962547</v>
      </c>
      <c r="U67" s="270">
        <f>_xlfn.XLOOKUP(T67,COHVPI!A:A,COHVPI!F:F)</f>
        <v>0</v>
      </c>
      <c r="V67" s="273">
        <f>_xlfn.XLOOKUP(T67,COHVPI!A:A,COHVPI!I:I)</f>
        <v>46149</v>
      </c>
      <c r="W67" s="276">
        <f>X67/12</f>
        <v>7805.666666666667</v>
      </c>
      <c r="X67" s="276">
        <f>23417*4</f>
        <v>93668</v>
      </c>
      <c r="Y67"/>
      <c r="Z67"/>
      <c r="AA67"/>
      <c r="AB67"/>
      <c r="AD67" t="e">
        <f>VLOOKUP(B67,COHVPI!A:N,14,0)</f>
        <v>#N/A</v>
      </c>
      <c r="AE67" s="95" t="e">
        <f>VLOOKUP(B67,COHVPI!A:E,5,0)</f>
        <v>#N/A</v>
      </c>
      <c r="AF67" s="95" t="e">
        <f t="shared" si="2"/>
        <v>#N/A</v>
      </c>
      <c r="AG67"/>
      <c r="AH67" s="67"/>
      <c r="AI67"/>
      <c r="AJ67" s="95"/>
    </row>
    <row r="68" spans="1:36" s="27" customFormat="1" ht="16.5" customHeight="1" x14ac:dyDescent="0.25">
      <c r="A68" s="78">
        <v>12</v>
      </c>
      <c r="B68" s="78">
        <v>1961532</v>
      </c>
      <c r="C68" s="79" t="s">
        <v>712</v>
      </c>
      <c r="D68" s="26">
        <v>9500</v>
      </c>
      <c r="E68" s="77" t="e">
        <f>_xlfn.XLOOKUP(A68,COHVPI!#REF!,COHVPI!E:E)</f>
        <v>#REF!</v>
      </c>
      <c r="F68" s="77" t="e">
        <f>_xlfn.XLOOKUP(B68,COHVPI!A:A,COHVPI!F:F)</f>
        <v>#N/A</v>
      </c>
      <c r="G68" s="74">
        <v>460881</v>
      </c>
      <c r="H68" s="111" t="s">
        <v>485</v>
      </c>
      <c r="I68" s="172">
        <v>46149</v>
      </c>
      <c r="J68" s="134">
        <v>46150</v>
      </c>
      <c r="K68" s="72"/>
      <c r="L68" s="72"/>
      <c r="M68" s="72"/>
      <c r="N68" s="105" t="e">
        <f>_xlfn.XLOOKUP('Linhas Rápidas'!B68,COHVPI!A:A,COHVPI!I:I)</f>
        <v>#N/A</v>
      </c>
      <c r="O68" s="176" t="s">
        <v>21</v>
      </c>
      <c r="P68" s="257" t="s">
        <v>820</v>
      </c>
      <c r="Q68"/>
      <c r="R68" s="262"/>
      <c r="S68" s="265"/>
      <c r="T68" s="268"/>
      <c r="U68" s="271"/>
      <c r="V68" s="274"/>
      <c r="W68" s="277"/>
      <c r="X68" s="277"/>
      <c r="Y68"/>
      <c r="Z68"/>
      <c r="AA68"/>
      <c r="AB68"/>
      <c r="AD68" t="e">
        <f>VLOOKUP(B68,COHVPI!A:N,14,0)</f>
        <v>#N/A</v>
      </c>
      <c r="AE68" s="95" t="e">
        <f>VLOOKUP(B68,COHVPI!A:E,5,0)</f>
        <v>#N/A</v>
      </c>
      <c r="AF68" s="95" t="e">
        <f t="shared" si="2"/>
        <v>#N/A</v>
      </c>
      <c r="AG68"/>
      <c r="AH68" s="67"/>
      <c r="AI68"/>
      <c r="AJ68" s="95"/>
    </row>
    <row r="69" spans="1:36" s="27" customFormat="1" ht="16.5" customHeight="1" x14ac:dyDescent="0.25">
      <c r="A69" s="78">
        <v>12</v>
      </c>
      <c r="B69" s="78">
        <v>1961533</v>
      </c>
      <c r="C69" s="79" t="s">
        <v>713</v>
      </c>
      <c r="D69" s="26">
        <v>9500</v>
      </c>
      <c r="E69" s="77" t="e">
        <f>_xlfn.XLOOKUP(A69,COHVPI!#REF!,COHVPI!E:E)</f>
        <v>#REF!</v>
      </c>
      <c r="F69" s="77" t="e">
        <f>_xlfn.XLOOKUP(B69,COHVPI!A:A,COHVPI!F:F)</f>
        <v>#N/A</v>
      </c>
      <c r="G69" s="74">
        <v>460881</v>
      </c>
      <c r="H69" s="111" t="s">
        <v>485</v>
      </c>
      <c r="I69" s="172">
        <v>46149</v>
      </c>
      <c r="J69" s="134">
        <v>46150</v>
      </c>
      <c r="K69" s="72"/>
      <c r="L69" s="72"/>
      <c r="M69" s="72"/>
      <c r="N69" s="105" t="e">
        <f>_xlfn.XLOOKUP('Linhas Rápidas'!B69,COHVPI!A:A,COHVPI!I:I)</f>
        <v>#N/A</v>
      </c>
      <c r="O69" s="176" t="s">
        <v>21</v>
      </c>
      <c r="P69" s="257" t="s">
        <v>820</v>
      </c>
      <c r="Q69"/>
      <c r="R69" s="262"/>
      <c r="S69" s="265"/>
      <c r="T69" s="268"/>
      <c r="U69" s="271" t="e">
        <f>_xlfn.XLOOKUP(T69,COHVPI!A:A,COHVPI!F:F)</f>
        <v>#N/A</v>
      </c>
      <c r="V69" s="274"/>
      <c r="W69" s="277"/>
      <c r="X69" s="277"/>
      <c r="Y69"/>
      <c r="Z69"/>
      <c r="AA69"/>
      <c r="AB69"/>
      <c r="AD69" t="e">
        <f>VLOOKUP(B69,COHVPI!A:N,14,0)</f>
        <v>#N/A</v>
      </c>
      <c r="AE69" s="95" t="e">
        <f>VLOOKUP(B69,COHVPI!A:E,5,0)</f>
        <v>#N/A</v>
      </c>
      <c r="AF69" s="95" t="e">
        <f t="shared" si="2"/>
        <v>#N/A</v>
      </c>
      <c r="AG69"/>
      <c r="AH69" s="67"/>
      <c r="AI69"/>
      <c r="AJ69" s="95"/>
    </row>
    <row r="70" spans="1:36" s="27" customFormat="1" ht="16.5" customHeight="1" x14ac:dyDescent="0.25">
      <c r="A70" s="78">
        <v>12</v>
      </c>
      <c r="B70" s="78">
        <v>1961534</v>
      </c>
      <c r="C70" s="79" t="s">
        <v>714</v>
      </c>
      <c r="D70" s="26">
        <v>9500</v>
      </c>
      <c r="E70" s="77" t="e">
        <f>_xlfn.XLOOKUP(A70,COHVPI!#REF!,COHVPI!E:E)</f>
        <v>#REF!</v>
      </c>
      <c r="F70" s="77" t="e">
        <f>_xlfn.XLOOKUP(B70,COHVPI!A:A,COHVPI!F:F)</f>
        <v>#N/A</v>
      </c>
      <c r="G70" s="74">
        <v>460881</v>
      </c>
      <c r="H70" s="111" t="s">
        <v>485</v>
      </c>
      <c r="I70" s="172">
        <v>46149</v>
      </c>
      <c r="J70" s="134">
        <v>46151</v>
      </c>
      <c r="K70" s="72"/>
      <c r="L70" s="72"/>
      <c r="M70" s="72"/>
      <c r="N70" s="105" t="e">
        <f>_xlfn.XLOOKUP('Linhas Rápidas'!B70,COHVPI!A:A,COHVPI!I:I)</f>
        <v>#N/A</v>
      </c>
      <c r="O70" s="176" t="s">
        <v>21</v>
      </c>
      <c r="P70" s="257" t="s">
        <v>820</v>
      </c>
      <c r="Q70"/>
      <c r="R70" s="263"/>
      <c r="S70" s="266"/>
      <c r="T70" s="269"/>
      <c r="U70" s="272"/>
      <c r="V70" s="275"/>
      <c r="W70" s="278"/>
      <c r="X70" s="278"/>
      <c r="Y70"/>
      <c r="Z70"/>
      <c r="AA70"/>
      <c r="AB70"/>
      <c r="AD70" t="e">
        <f>VLOOKUP(B70,COHVPI!A:N,14,0)</f>
        <v>#N/A</v>
      </c>
      <c r="AE70" s="95" t="e">
        <f>VLOOKUP(B70,COHVPI!A:E,5,0)</f>
        <v>#N/A</v>
      </c>
      <c r="AF70" s="95" t="e">
        <f t="shared" si="2"/>
        <v>#N/A</v>
      </c>
      <c r="AG70"/>
      <c r="AH70" s="67"/>
      <c r="AI70"/>
      <c r="AJ70" s="95"/>
    </row>
    <row r="71" spans="1:36" s="27" customFormat="1" ht="16.5" customHeight="1" x14ac:dyDescent="0.25">
      <c r="A71" s="78">
        <v>12</v>
      </c>
      <c r="B71" s="78">
        <v>1961535</v>
      </c>
      <c r="C71" s="79" t="s">
        <v>715</v>
      </c>
      <c r="D71" s="26">
        <v>9500</v>
      </c>
      <c r="E71" s="77" t="e">
        <f>_xlfn.XLOOKUP(A71,COHVPI!#REF!,COHVPI!E:E)</f>
        <v>#REF!</v>
      </c>
      <c r="F71" s="77" t="e">
        <f>_xlfn.XLOOKUP(B71,COHVPI!A:A,COHVPI!F:F)</f>
        <v>#N/A</v>
      </c>
      <c r="G71" s="74">
        <v>460881</v>
      </c>
      <c r="H71" s="111" t="s">
        <v>485</v>
      </c>
      <c r="I71" s="172">
        <v>46150</v>
      </c>
      <c r="J71" s="134">
        <v>46151</v>
      </c>
      <c r="K71" s="72"/>
      <c r="L71" s="72"/>
      <c r="M71" s="72"/>
      <c r="N71" s="105" t="e">
        <f>_xlfn.XLOOKUP('Linhas Rápidas'!B71,COHVPI!A:A,COHVPI!I:I)</f>
        <v>#N/A</v>
      </c>
      <c r="O71" s="176" t="s">
        <v>21</v>
      </c>
      <c r="P71" s="257" t="s">
        <v>820</v>
      </c>
      <c r="Q71"/>
      <c r="R71" s="261" t="s">
        <v>112</v>
      </c>
      <c r="S71" s="281" t="s">
        <v>113</v>
      </c>
      <c r="T71" s="267">
        <v>1961428</v>
      </c>
      <c r="U71" s="270">
        <f>_xlfn.XLOOKUP(T71,COHVPI!A:A,COHVPI!F:F)</f>
        <v>0</v>
      </c>
      <c r="V71" s="273">
        <f>_xlfn.XLOOKUP(T71,COHVPI!A:A,COHVPI!I:I)</f>
        <v>46150</v>
      </c>
      <c r="W71" s="276">
        <f>X71/12</f>
        <v>7805.666666666667</v>
      </c>
      <c r="X71" s="276">
        <f>23417*4</f>
        <v>93668</v>
      </c>
      <c r="Y71"/>
      <c r="Z71"/>
      <c r="AA71"/>
      <c r="AB71"/>
      <c r="AD71" t="e">
        <f>VLOOKUP(B71,COHVPI!A:N,14,0)</f>
        <v>#N/A</v>
      </c>
      <c r="AE71" s="95" t="e">
        <f>VLOOKUP(B71,COHVPI!A:E,5,0)</f>
        <v>#N/A</v>
      </c>
      <c r="AF71" s="95" t="e">
        <f t="shared" ref="AF71:AF90" si="3">AE71-D71</f>
        <v>#N/A</v>
      </c>
      <c r="AG71"/>
      <c r="AH71" s="67"/>
      <c r="AI71"/>
      <c r="AJ71" s="95"/>
    </row>
    <row r="72" spans="1:36" s="27" customFormat="1" ht="16.5" customHeight="1" x14ac:dyDescent="0.25">
      <c r="A72" s="78">
        <v>12</v>
      </c>
      <c r="B72" s="78">
        <v>1961536</v>
      </c>
      <c r="C72" s="79" t="s">
        <v>716</v>
      </c>
      <c r="D72" s="26">
        <v>9500</v>
      </c>
      <c r="E72" s="77" t="e">
        <f>_xlfn.XLOOKUP(A72,COHVPI!#REF!,COHVPI!E:E)</f>
        <v>#REF!</v>
      </c>
      <c r="F72" s="77" t="e">
        <f>_xlfn.XLOOKUP(B72,COHVPI!A:A,COHVPI!F:F)</f>
        <v>#N/A</v>
      </c>
      <c r="G72" s="74">
        <v>460881</v>
      </c>
      <c r="H72" s="111" t="s">
        <v>485</v>
      </c>
      <c r="I72" s="172">
        <v>46150</v>
      </c>
      <c r="J72" s="134">
        <v>46151</v>
      </c>
      <c r="K72" s="72"/>
      <c r="L72" s="72"/>
      <c r="M72" s="72"/>
      <c r="N72" s="105" t="e">
        <f>_xlfn.XLOOKUP('Linhas Rápidas'!B72,COHVPI!A:A,COHVPI!I:I)</f>
        <v>#N/A</v>
      </c>
      <c r="O72" s="176" t="s">
        <v>21</v>
      </c>
      <c r="P72" s="257" t="s">
        <v>820</v>
      </c>
      <c r="Q72"/>
      <c r="R72" s="262"/>
      <c r="S72" s="265"/>
      <c r="T72" s="268"/>
      <c r="U72" s="271"/>
      <c r="V72" s="274"/>
      <c r="W72" s="277"/>
      <c r="X72" s="277"/>
      <c r="Y72"/>
      <c r="Z72"/>
      <c r="AA72"/>
      <c r="AB72"/>
      <c r="AD72" t="e">
        <f>VLOOKUP(B72,COHVPI!A:N,14,0)</f>
        <v>#N/A</v>
      </c>
      <c r="AE72" s="95" t="e">
        <f>VLOOKUP(B72,COHVPI!A:E,5,0)</f>
        <v>#N/A</v>
      </c>
      <c r="AF72" s="95" t="e">
        <f t="shared" si="3"/>
        <v>#N/A</v>
      </c>
      <c r="AG72"/>
      <c r="AH72" s="67"/>
      <c r="AI72"/>
      <c r="AJ72" s="95"/>
    </row>
    <row r="73" spans="1:36" s="27" customFormat="1" ht="16.5" customHeight="1" x14ac:dyDescent="0.25">
      <c r="A73" s="78">
        <v>12</v>
      </c>
      <c r="B73" s="78">
        <v>1961537</v>
      </c>
      <c r="C73" s="79" t="s">
        <v>717</v>
      </c>
      <c r="D73" s="26">
        <v>9500</v>
      </c>
      <c r="E73" s="77" t="e">
        <f>_xlfn.XLOOKUP(A73,COHVPI!#REF!,COHVPI!E:E)</f>
        <v>#REF!</v>
      </c>
      <c r="F73" s="77" t="e">
        <f>_xlfn.XLOOKUP(B73,COHVPI!A:A,COHVPI!F:F)</f>
        <v>#N/A</v>
      </c>
      <c r="G73" s="74">
        <v>460881</v>
      </c>
      <c r="H73" s="111" t="s">
        <v>485</v>
      </c>
      <c r="I73" s="172">
        <v>46150</v>
      </c>
      <c r="J73" s="134">
        <v>46151</v>
      </c>
      <c r="K73" s="72"/>
      <c r="L73" s="72"/>
      <c r="M73" s="72"/>
      <c r="N73" s="105" t="e">
        <f>_xlfn.XLOOKUP('Linhas Rápidas'!B73,COHVPI!A:A,COHVPI!I:I)</f>
        <v>#N/A</v>
      </c>
      <c r="O73" s="176" t="s">
        <v>21</v>
      </c>
      <c r="P73" s="257" t="s">
        <v>820</v>
      </c>
      <c r="Q73"/>
      <c r="R73" s="262"/>
      <c r="S73" s="265"/>
      <c r="T73" s="268"/>
      <c r="U73" s="271" t="e">
        <f>_xlfn.XLOOKUP(T73,COHVPI!A:A,COHVPI!F:F)</f>
        <v>#N/A</v>
      </c>
      <c r="V73" s="274"/>
      <c r="W73" s="277"/>
      <c r="X73" s="277"/>
      <c r="Y73"/>
      <c r="Z73"/>
      <c r="AA73"/>
      <c r="AB73"/>
      <c r="AD73" t="e">
        <f>VLOOKUP(B73,COHVPI!A:N,14,0)</f>
        <v>#N/A</v>
      </c>
      <c r="AE73" s="95" t="e">
        <f>VLOOKUP(B73,COHVPI!A:E,5,0)</f>
        <v>#N/A</v>
      </c>
      <c r="AF73" s="95" t="e">
        <f t="shared" si="3"/>
        <v>#N/A</v>
      </c>
      <c r="AG73"/>
      <c r="AH73" s="67"/>
      <c r="AI73"/>
      <c r="AJ73" s="95"/>
    </row>
    <row r="74" spans="1:36" s="27" customFormat="1" ht="16.5" customHeight="1" x14ac:dyDescent="0.25">
      <c r="A74" s="78">
        <v>12</v>
      </c>
      <c r="B74" s="78">
        <v>1961538</v>
      </c>
      <c r="C74" s="79" t="s">
        <v>718</v>
      </c>
      <c r="D74" s="26">
        <v>9500</v>
      </c>
      <c r="E74" s="77" t="e">
        <f>_xlfn.XLOOKUP(A74,COHVPI!#REF!,COHVPI!E:E)</f>
        <v>#REF!</v>
      </c>
      <c r="F74" s="77" t="e">
        <f>_xlfn.XLOOKUP(B74,COHVPI!A:A,COHVPI!F:F)</f>
        <v>#N/A</v>
      </c>
      <c r="G74" s="74">
        <v>460881</v>
      </c>
      <c r="H74" s="111" t="s">
        <v>485</v>
      </c>
      <c r="I74" s="172">
        <v>46150</v>
      </c>
      <c r="J74" s="134">
        <v>46153</v>
      </c>
      <c r="K74" s="72"/>
      <c r="L74" s="72"/>
      <c r="M74" s="72"/>
      <c r="N74" s="105" t="e">
        <f>_xlfn.XLOOKUP('Linhas Rápidas'!B74,COHVPI!A:A,COHVPI!I:I)</f>
        <v>#N/A</v>
      </c>
      <c r="O74" s="176" t="s">
        <v>21</v>
      </c>
      <c r="P74" s="257" t="s">
        <v>820</v>
      </c>
      <c r="Q74"/>
      <c r="R74" s="263"/>
      <c r="S74" s="266"/>
      <c r="T74" s="269"/>
      <c r="U74" s="272"/>
      <c r="V74" s="275"/>
      <c r="W74" s="278"/>
      <c r="X74" s="278"/>
      <c r="Y74"/>
      <c r="Z74"/>
      <c r="AA74"/>
      <c r="AB74"/>
      <c r="AD74" t="e">
        <f>VLOOKUP(B74,COHVPI!A:N,14,0)</f>
        <v>#N/A</v>
      </c>
      <c r="AE74" s="95" t="e">
        <f>VLOOKUP(B74,COHVPI!A:E,5,0)</f>
        <v>#N/A</v>
      </c>
      <c r="AF74" s="95" t="e">
        <f t="shared" si="3"/>
        <v>#N/A</v>
      </c>
      <c r="AG74"/>
      <c r="AH74" s="67"/>
      <c r="AI74"/>
      <c r="AJ74" s="95"/>
    </row>
    <row r="75" spans="1:36" s="27" customFormat="1" ht="16.5" customHeight="1" x14ac:dyDescent="0.25">
      <c r="A75" s="244">
        <v>12</v>
      </c>
      <c r="B75" s="244">
        <v>1961539</v>
      </c>
      <c r="C75" s="245" t="s">
        <v>719</v>
      </c>
      <c r="D75" s="235">
        <v>9500</v>
      </c>
      <c r="E75" s="246" t="e">
        <f>_xlfn.XLOOKUP(A75,COHVPI!#REF!,COHVPI!E:E)</f>
        <v>#REF!</v>
      </c>
      <c r="F75" s="246" t="e">
        <f>_xlfn.XLOOKUP(B75,COHVPI!A:A,COHVPI!F:F)</f>
        <v>#N/A</v>
      </c>
      <c r="G75" s="238">
        <v>460881</v>
      </c>
      <c r="H75" s="239" t="s">
        <v>485</v>
      </c>
      <c r="I75" s="172">
        <v>46151</v>
      </c>
      <c r="J75" s="134">
        <v>46153</v>
      </c>
      <c r="K75" s="241"/>
      <c r="L75" s="241"/>
      <c r="M75" s="241"/>
      <c r="N75" s="247" t="e">
        <f>_xlfn.XLOOKUP('Linhas Rápidas'!B75,COHVPI!A:A,COHVPI!I:I)</f>
        <v>#N/A</v>
      </c>
      <c r="O75" s="243" t="s">
        <v>806</v>
      </c>
      <c r="P75" s="257" t="s">
        <v>820</v>
      </c>
      <c r="Q75"/>
      <c r="R75" s="261" t="s">
        <v>112</v>
      </c>
      <c r="S75" s="281" t="s">
        <v>113</v>
      </c>
      <c r="T75" s="267">
        <v>1961430</v>
      </c>
      <c r="U75" s="270">
        <f>_xlfn.XLOOKUP(T75,COHVPI!A:A,COHVPI!F:F)</f>
        <v>0</v>
      </c>
      <c r="V75" s="273">
        <f>_xlfn.XLOOKUP(T75,COHVPI!A:A,COHVPI!I:I)</f>
        <v>46151</v>
      </c>
      <c r="W75" s="276">
        <f>X75/12</f>
        <v>7805.666666666667</v>
      </c>
      <c r="X75" s="276">
        <f>23417*4</f>
        <v>93668</v>
      </c>
      <c r="Y75"/>
      <c r="Z75"/>
      <c r="AA75"/>
      <c r="AB75"/>
      <c r="AD75" t="e">
        <f>VLOOKUP(B75,COHVPI!A:N,14,0)</f>
        <v>#N/A</v>
      </c>
      <c r="AE75" s="95" t="e">
        <f>VLOOKUP(B75,COHVPI!A:E,5,0)</f>
        <v>#N/A</v>
      </c>
      <c r="AF75" s="95" t="e">
        <f t="shared" si="3"/>
        <v>#N/A</v>
      </c>
      <c r="AG75"/>
      <c r="AH75" s="67"/>
      <c r="AI75"/>
      <c r="AJ75" s="95"/>
    </row>
    <row r="76" spans="1:36" s="27" customFormat="1" ht="16.5" customHeight="1" x14ac:dyDescent="0.25">
      <c r="A76" s="244">
        <v>12</v>
      </c>
      <c r="B76" s="244">
        <v>1961540</v>
      </c>
      <c r="C76" s="245" t="s">
        <v>720</v>
      </c>
      <c r="D76" s="235">
        <v>9500</v>
      </c>
      <c r="E76" s="246" t="e">
        <f>_xlfn.XLOOKUP(A76,COHVPI!#REF!,COHVPI!E:E)</f>
        <v>#REF!</v>
      </c>
      <c r="F76" s="246" t="e">
        <f>_xlfn.XLOOKUP(B76,COHVPI!A:A,COHVPI!F:F)</f>
        <v>#N/A</v>
      </c>
      <c r="G76" s="238">
        <v>460881</v>
      </c>
      <c r="H76" s="239" t="s">
        <v>485</v>
      </c>
      <c r="I76" s="172">
        <v>46151</v>
      </c>
      <c r="J76" s="134">
        <v>46153</v>
      </c>
      <c r="K76" s="241"/>
      <c r="L76" s="241"/>
      <c r="M76" s="241"/>
      <c r="N76" s="247" t="e">
        <f>_xlfn.XLOOKUP('Linhas Rápidas'!B76,COHVPI!A:A,COHVPI!I:I)</f>
        <v>#N/A</v>
      </c>
      <c r="O76" s="243" t="s">
        <v>806</v>
      </c>
      <c r="P76" s="257" t="s">
        <v>820</v>
      </c>
      <c r="Q76"/>
      <c r="R76" s="262"/>
      <c r="S76" s="265"/>
      <c r="T76" s="268"/>
      <c r="U76" s="271"/>
      <c r="V76" s="274"/>
      <c r="W76" s="277"/>
      <c r="X76" s="277"/>
      <c r="Y76"/>
      <c r="Z76"/>
      <c r="AA76"/>
      <c r="AB76"/>
      <c r="AD76" t="e">
        <f>VLOOKUP(B76,COHVPI!A:N,14,0)</f>
        <v>#N/A</v>
      </c>
      <c r="AE76" s="95" t="e">
        <f>VLOOKUP(B76,COHVPI!A:E,5,0)</f>
        <v>#N/A</v>
      </c>
      <c r="AF76" s="95" t="e">
        <f t="shared" si="3"/>
        <v>#N/A</v>
      </c>
      <c r="AG76"/>
      <c r="AH76" s="67"/>
      <c r="AI76"/>
      <c r="AJ76" s="95"/>
    </row>
    <row r="77" spans="1:36" s="27" customFormat="1" ht="16.5" customHeight="1" x14ac:dyDescent="0.25">
      <c r="A77" s="244">
        <v>12</v>
      </c>
      <c r="B77" s="244">
        <v>1961541</v>
      </c>
      <c r="C77" s="245" t="s">
        <v>721</v>
      </c>
      <c r="D77" s="235">
        <v>9500</v>
      </c>
      <c r="E77" s="246" t="e">
        <f>_xlfn.XLOOKUP(A77,COHVPI!#REF!,COHVPI!E:E)</f>
        <v>#REF!</v>
      </c>
      <c r="F77" s="246" t="e">
        <f>_xlfn.XLOOKUP(B77,COHVPI!A:A,COHVPI!F:F)</f>
        <v>#N/A</v>
      </c>
      <c r="G77" s="238">
        <v>460881</v>
      </c>
      <c r="H77" s="239" t="s">
        <v>485</v>
      </c>
      <c r="I77" s="172">
        <v>46151</v>
      </c>
      <c r="J77" s="134">
        <v>46153</v>
      </c>
      <c r="K77" s="241"/>
      <c r="L77" s="241"/>
      <c r="M77" s="241"/>
      <c r="N77" s="247" t="e">
        <f>_xlfn.XLOOKUP('Linhas Rápidas'!B77,COHVPI!A:A,COHVPI!I:I)</f>
        <v>#N/A</v>
      </c>
      <c r="O77" s="243" t="s">
        <v>806</v>
      </c>
      <c r="P77" s="257" t="s">
        <v>820</v>
      </c>
      <c r="Q77"/>
      <c r="R77" s="262"/>
      <c r="S77" s="265"/>
      <c r="T77" s="268"/>
      <c r="U77" s="271" t="e">
        <f>_xlfn.XLOOKUP(T77,COHVPI!A:A,COHVPI!F:F)</f>
        <v>#N/A</v>
      </c>
      <c r="V77" s="274"/>
      <c r="W77" s="277"/>
      <c r="X77" s="277"/>
      <c r="Y77"/>
      <c r="Z77"/>
      <c r="AA77"/>
      <c r="AB77"/>
      <c r="AD77" t="e">
        <f>VLOOKUP(B77,COHVPI!A:N,14,0)</f>
        <v>#N/A</v>
      </c>
      <c r="AE77" s="95" t="e">
        <f>VLOOKUP(B77,COHVPI!A:E,5,0)</f>
        <v>#N/A</v>
      </c>
      <c r="AF77" s="95" t="e">
        <f t="shared" si="3"/>
        <v>#N/A</v>
      </c>
      <c r="AG77"/>
      <c r="AH77" s="67"/>
      <c r="AI77"/>
      <c r="AJ77" s="95"/>
    </row>
    <row r="78" spans="1:36" s="27" customFormat="1" ht="16.5" customHeight="1" x14ac:dyDescent="0.25">
      <c r="A78" s="244">
        <v>12</v>
      </c>
      <c r="B78" s="244">
        <v>1961542</v>
      </c>
      <c r="C78" s="245" t="s">
        <v>722</v>
      </c>
      <c r="D78" s="235">
        <v>9500</v>
      </c>
      <c r="E78" s="246" t="e">
        <f>_xlfn.XLOOKUP(A78,COHVPI!#REF!,COHVPI!E:E)</f>
        <v>#REF!</v>
      </c>
      <c r="F78" s="246" t="e">
        <f>_xlfn.XLOOKUP(B78,COHVPI!A:A,COHVPI!F:F)</f>
        <v>#N/A</v>
      </c>
      <c r="G78" s="238">
        <v>460881</v>
      </c>
      <c r="H78" s="239" t="s">
        <v>485</v>
      </c>
      <c r="I78" s="172">
        <v>46151</v>
      </c>
      <c r="J78" s="134">
        <v>46154</v>
      </c>
      <c r="K78" s="241"/>
      <c r="L78" s="241"/>
      <c r="M78" s="241"/>
      <c r="N78" s="247" t="e">
        <f>_xlfn.XLOOKUP('Linhas Rápidas'!B78,COHVPI!A:A,COHVPI!I:I)</f>
        <v>#N/A</v>
      </c>
      <c r="O78" s="243" t="s">
        <v>806</v>
      </c>
      <c r="P78" s="257" t="s">
        <v>820</v>
      </c>
      <c r="Q78"/>
      <c r="R78" s="263"/>
      <c r="S78" s="266"/>
      <c r="T78" s="269"/>
      <c r="U78" s="272"/>
      <c r="V78" s="275"/>
      <c r="W78" s="278"/>
      <c r="X78" s="278"/>
      <c r="Y78"/>
      <c r="Z78"/>
      <c r="AA78"/>
      <c r="AB78"/>
      <c r="AD78" t="e">
        <f>VLOOKUP(B78,COHVPI!A:N,14,0)</f>
        <v>#N/A</v>
      </c>
      <c r="AE78" s="95" t="e">
        <f>VLOOKUP(B78,COHVPI!A:E,5,0)</f>
        <v>#N/A</v>
      </c>
      <c r="AF78" s="95" t="e">
        <f t="shared" si="3"/>
        <v>#N/A</v>
      </c>
      <c r="AG78"/>
      <c r="AH78" s="67"/>
      <c r="AI78"/>
      <c r="AJ78" s="95"/>
    </row>
    <row r="79" spans="1:36" s="27" customFormat="1" ht="16.5" customHeight="1" x14ac:dyDescent="0.25">
      <c r="A79" s="244">
        <v>12</v>
      </c>
      <c r="B79" s="244">
        <v>1961543</v>
      </c>
      <c r="C79" s="245" t="s">
        <v>723</v>
      </c>
      <c r="D79" s="235">
        <v>9500</v>
      </c>
      <c r="E79" s="246" t="e">
        <f>_xlfn.XLOOKUP(A79,COHVPI!#REF!,COHVPI!E:E)</f>
        <v>#REF!</v>
      </c>
      <c r="F79" s="246" t="e">
        <f>_xlfn.XLOOKUP(B79,COHVPI!A:A,COHVPI!F:F)</f>
        <v>#N/A</v>
      </c>
      <c r="G79" s="238">
        <v>460881</v>
      </c>
      <c r="H79" s="239" t="s">
        <v>485</v>
      </c>
      <c r="I79" s="172">
        <v>46153</v>
      </c>
      <c r="J79" s="134">
        <v>46154</v>
      </c>
      <c r="K79" s="241"/>
      <c r="L79" s="241"/>
      <c r="M79" s="241"/>
      <c r="N79" s="247" t="e">
        <f>_xlfn.XLOOKUP('Linhas Rápidas'!B79,COHVPI!A:A,COHVPI!I:I)</f>
        <v>#N/A</v>
      </c>
      <c r="O79" s="243" t="s">
        <v>806</v>
      </c>
      <c r="P79" s="257" t="s">
        <v>820</v>
      </c>
      <c r="Q79"/>
      <c r="R79" s="261" t="s">
        <v>112</v>
      </c>
      <c r="S79" s="281" t="s">
        <v>113</v>
      </c>
      <c r="T79" s="267">
        <v>1961423</v>
      </c>
      <c r="U79" s="270">
        <f>_xlfn.XLOOKUP(T79,COHVPI!A:A,COHVPI!F:F)</f>
        <v>0</v>
      </c>
      <c r="V79" s="273">
        <f>_xlfn.XLOOKUP(T79,COHVPI!A:A,COHVPI!I:I)</f>
        <v>46153</v>
      </c>
      <c r="W79" s="276">
        <f>X79/12</f>
        <v>5854.25</v>
      </c>
      <c r="X79" s="276">
        <f>23417*3</f>
        <v>70251</v>
      </c>
      <c r="Y79"/>
      <c r="Z79"/>
      <c r="AA79"/>
      <c r="AB79"/>
      <c r="AD79" t="e">
        <f>VLOOKUP(B79,COHVPI!A:N,14,0)</f>
        <v>#N/A</v>
      </c>
      <c r="AE79" s="95" t="e">
        <f>VLOOKUP(B79,COHVPI!A:E,5,0)</f>
        <v>#N/A</v>
      </c>
      <c r="AF79" s="95" t="e">
        <f t="shared" si="3"/>
        <v>#N/A</v>
      </c>
      <c r="AG79"/>
      <c r="AH79" s="67"/>
      <c r="AI79"/>
      <c r="AJ79" s="95"/>
    </row>
    <row r="80" spans="1:36" s="27" customFormat="1" ht="16.5" customHeight="1" x14ac:dyDescent="0.25">
      <c r="A80" s="244">
        <v>12</v>
      </c>
      <c r="B80" s="244">
        <v>1961544</v>
      </c>
      <c r="C80" s="245" t="s">
        <v>724</v>
      </c>
      <c r="D80" s="235">
        <v>9500</v>
      </c>
      <c r="E80" s="246" t="e">
        <f>_xlfn.XLOOKUP(A80,COHVPI!#REF!,COHVPI!E:E)</f>
        <v>#REF!</v>
      </c>
      <c r="F80" s="246" t="e">
        <f>_xlfn.XLOOKUP(B80,COHVPI!A:A,COHVPI!F:F)</f>
        <v>#N/A</v>
      </c>
      <c r="G80" s="238">
        <v>460881</v>
      </c>
      <c r="H80" s="239" t="s">
        <v>485</v>
      </c>
      <c r="I80" s="172">
        <v>46153</v>
      </c>
      <c r="J80" s="134">
        <v>46154</v>
      </c>
      <c r="K80" s="241"/>
      <c r="L80" s="241"/>
      <c r="M80" s="241"/>
      <c r="N80" s="247" t="e">
        <f>_xlfn.XLOOKUP('Linhas Rápidas'!B80,COHVPI!A:A,COHVPI!I:I)</f>
        <v>#N/A</v>
      </c>
      <c r="O80" s="243" t="s">
        <v>806</v>
      </c>
      <c r="P80" s="257" t="s">
        <v>820</v>
      </c>
      <c r="Q80"/>
      <c r="R80" s="262"/>
      <c r="S80" s="265"/>
      <c r="T80" s="268"/>
      <c r="U80" s="271"/>
      <c r="V80" s="274"/>
      <c r="W80" s="277"/>
      <c r="X80" s="277"/>
      <c r="Y80"/>
      <c r="Z80"/>
      <c r="AA80"/>
      <c r="AB80"/>
      <c r="AD80" t="e">
        <f>VLOOKUP(B80,COHVPI!A:N,14,0)</f>
        <v>#N/A</v>
      </c>
      <c r="AE80" s="95" t="e">
        <f>VLOOKUP(B80,COHVPI!A:E,5,0)</f>
        <v>#N/A</v>
      </c>
      <c r="AF80" s="95" t="e">
        <f t="shared" si="3"/>
        <v>#N/A</v>
      </c>
      <c r="AG80"/>
      <c r="AH80" s="67"/>
      <c r="AI80"/>
      <c r="AJ80" s="95"/>
    </row>
    <row r="81" spans="1:36" s="27" customFormat="1" ht="16.5" customHeight="1" x14ac:dyDescent="0.25">
      <c r="A81" s="244">
        <v>12</v>
      </c>
      <c r="B81" s="244">
        <v>1961545</v>
      </c>
      <c r="C81" s="245" t="s">
        <v>725</v>
      </c>
      <c r="D81" s="235">
        <v>9500</v>
      </c>
      <c r="E81" s="246" t="e">
        <f>_xlfn.XLOOKUP(A81,COHVPI!#REF!,COHVPI!E:E)</f>
        <v>#REF!</v>
      </c>
      <c r="F81" s="246" t="e">
        <f>_xlfn.XLOOKUP(B81,COHVPI!A:A,COHVPI!F:F)</f>
        <v>#N/A</v>
      </c>
      <c r="G81" s="238">
        <v>460881</v>
      </c>
      <c r="H81" s="239" t="s">
        <v>485</v>
      </c>
      <c r="I81" s="172">
        <v>46153</v>
      </c>
      <c r="J81" s="134">
        <v>46154</v>
      </c>
      <c r="K81" s="241"/>
      <c r="L81" s="241"/>
      <c r="M81" s="241"/>
      <c r="N81" s="247" t="e">
        <f>_xlfn.XLOOKUP('Linhas Rápidas'!B81,COHVPI!A:A,COHVPI!I:I)</f>
        <v>#N/A</v>
      </c>
      <c r="O81" s="243" t="s">
        <v>806</v>
      </c>
      <c r="P81" s="257" t="s">
        <v>820</v>
      </c>
      <c r="Q81"/>
      <c r="R81" s="262"/>
      <c r="S81" s="265"/>
      <c r="T81" s="268"/>
      <c r="U81" s="271" t="e">
        <f>_xlfn.XLOOKUP(T81,COHVPI!A:A,COHVPI!F:F)</f>
        <v>#N/A</v>
      </c>
      <c r="V81" s="274"/>
      <c r="W81" s="277"/>
      <c r="X81" s="277"/>
      <c r="Y81"/>
      <c r="Z81"/>
      <c r="AA81"/>
      <c r="AB81"/>
      <c r="AD81" t="e">
        <f>VLOOKUP(B81,COHVPI!A:N,14,0)</f>
        <v>#N/A</v>
      </c>
      <c r="AE81" s="95" t="e">
        <f>VLOOKUP(B81,COHVPI!A:E,5,0)</f>
        <v>#N/A</v>
      </c>
      <c r="AF81" s="95" t="e">
        <f t="shared" si="3"/>
        <v>#N/A</v>
      </c>
      <c r="AG81"/>
      <c r="AH81" s="67"/>
      <c r="AI81"/>
      <c r="AJ81" s="95"/>
    </row>
    <row r="82" spans="1:36" s="27" customFormat="1" ht="16.5" customHeight="1" x14ac:dyDescent="0.25">
      <c r="A82" s="98"/>
      <c r="B82" s="98"/>
      <c r="C82" s="73"/>
      <c r="D82" s="248"/>
      <c r="E82" s="248"/>
      <c r="F82" s="248"/>
      <c r="G82" s="74"/>
      <c r="H82" s="249" t="s">
        <v>839</v>
      </c>
      <c r="I82" s="72"/>
      <c r="J82" s="134"/>
      <c r="K82" s="72"/>
      <c r="L82" s="72"/>
      <c r="M82" s="72"/>
      <c r="N82" s="250"/>
      <c r="O82" s="251"/>
      <c r="P82" s="72"/>
      <c r="Q82"/>
      <c r="R82" s="327" t="s">
        <v>839</v>
      </c>
      <c r="S82" s="328"/>
      <c r="T82" s="328"/>
      <c r="U82" s="328"/>
      <c r="V82" s="328"/>
      <c r="W82" s="328"/>
      <c r="X82" s="328"/>
      <c r="Y82"/>
      <c r="Z82"/>
      <c r="AA82"/>
      <c r="AB82"/>
      <c r="AD82" t="e">
        <f>VLOOKUP(B82,COHVPI!A:N,14,0)</f>
        <v>#N/A</v>
      </c>
      <c r="AE82" s="95" t="e">
        <f>VLOOKUP(B82,COHVPI!A:E,5,0)</f>
        <v>#N/A</v>
      </c>
      <c r="AF82" s="95" t="e">
        <f t="shared" si="3"/>
        <v>#N/A</v>
      </c>
      <c r="AG82"/>
      <c r="AH82" s="67"/>
      <c r="AI82"/>
      <c r="AJ82" s="95"/>
    </row>
    <row r="83" spans="1:36" s="27" customFormat="1" ht="16.5" customHeight="1" x14ac:dyDescent="0.25">
      <c r="A83" s="78">
        <v>12</v>
      </c>
      <c r="B83" s="78">
        <v>1961556</v>
      </c>
      <c r="C83" s="79" t="s">
        <v>702</v>
      </c>
      <c r="D83" s="26">
        <v>9500</v>
      </c>
      <c r="E83" s="77">
        <f>_xlfn.XLOOKUP(B83,COHVPI!A:A,COHVPI!E:E,0,0,1)</f>
        <v>0</v>
      </c>
      <c r="F83" s="77" t="e">
        <f>_xlfn.XLOOKUP(B83,COHVPI!A:A,COHVPI!F:F)</f>
        <v>#N/A</v>
      </c>
      <c r="G83" s="74">
        <v>460884</v>
      </c>
      <c r="H83" s="111" t="s">
        <v>647</v>
      </c>
      <c r="I83" s="172">
        <v>46154</v>
      </c>
      <c r="J83" s="134">
        <v>46155</v>
      </c>
      <c r="K83" s="72"/>
      <c r="L83" s="72"/>
      <c r="M83" s="72"/>
      <c r="N83" s="105" t="e">
        <f>_xlfn.XLOOKUP('Linhas Rápidas'!B83,COHVPI!A:A,COHVPI!I:I)</f>
        <v>#N/A</v>
      </c>
      <c r="O83" s="176" t="s">
        <v>21</v>
      </c>
      <c r="P83" s="257" t="s">
        <v>820</v>
      </c>
      <c r="Q83"/>
      <c r="R83" s="261" t="s">
        <v>68</v>
      </c>
      <c r="S83" s="281" t="s">
        <v>69</v>
      </c>
      <c r="T83" s="267">
        <v>1961417</v>
      </c>
      <c r="U83" s="270">
        <f>_xlfn.XLOOKUP(T83,COHVPI!A:A,COHVPI!F:F)</f>
        <v>0</v>
      </c>
      <c r="V83" s="273">
        <f>_xlfn.XLOOKUP(T83,COHVPI!A:A,COHVPI!I:I)</f>
        <v>46154</v>
      </c>
      <c r="W83" s="276">
        <f>X83/24</f>
        <v>7846.166666666667</v>
      </c>
      <c r="X83" s="276">
        <f>47077*4</f>
        <v>188308</v>
      </c>
      <c r="Y83"/>
      <c r="Z83"/>
      <c r="AA83"/>
      <c r="AB83"/>
      <c r="AD83" t="e">
        <f>VLOOKUP(B83,COHVPI!A:N,14,0)</f>
        <v>#N/A</v>
      </c>
      <c r="AE83" s="95" t="e">
        <f>VLOOKUP(B83,COHVPI!A:E,5,0)</f>
        <v>#N/A</v>
      </c>
      <c r="AF83" s="95" t="e">
        <f t="shared" si="3"/>
        <v>#N/A</v>
      </c>
      <c r="AG83"/>
      <c r="AH83" s="67"/>
      <c r="AI83"/>
      <c r="AJ83" s="95"/>
    </row>
    <row r="84" spans="1:36" s="27" customFormat="1" ht="16.5" customHeight="1" x14ac:dyDescent="0.25">
      <c r="A84" s="78">
        <v>12</v>
      </c>
      <c r="B84" s="78">
        <v>1961557</v>
      </c>
      <c r="C84" s="79" t="s">
        <v>703</v>
      </c>
      <c r="D84" s="26">
        <v>9500</v>
      </c>
      <c r="E84" s="77">
        <f>_xlfn.XLOOKUP(B84,COHVPI!A:A,COHVPI!E:E,0,0,1)</f>
        <v>0</v>
      </c>
      <c r="F84" s="77" t="e">
        <f>_xlfn.XLOOKUP(B84,COHVPI!A:A,COHVPI!F:F)</f>
        <v>#N/A</v>
      </c>
      <c r="G84" s="74">
        <v>460884</v>
      </c>
      <c r="H84" s="111" t="s">
        <v>647</v>
      </c>
      <c r="I84" s="172">
        <v>46154</v>
      </c>
      <c r="J84" s="134">
        <v>46155</v>
      </c>
      <c r="K84" s="72"/>
      <c r="L84" s="72"/>
      <c r="M84" s="72"/>
      <c r="N84" s="105" t="e">
        <f>_xlfn.XLOOKUP('Linhas Rápidas'!B84,COHVPI!A:A,COHVPI!I:I)</f>
        <v>#N/A</v>
      </c>
      <c r="O84" s="176" t="s">
        <v>21</v>
      </c>
      <c r="P84" s="257" t="s">
        <v>820</v>
      </c>
      <c r="Q84"/>
      <c r="R84" s="262"/>
      <c r="S84" s="265"/>
      <c r="T84" s="268"/>
      <c r="U84" s="271"/>
      <c r="V84" s="274"/>
      <c r="W84" s="277"/>
      <c r="X84" s="277"/>
      <c r="Y84"/>
      <c r="Z84"/>
      <c r="AA84"/>
      <c r="AB84"/>
      <c r="AD84" t="e">
        <f>VLOOKUP(B84,COHVPI!A:N,14,0)</f>
        <v>#N/A</v>
      </c>
      <c r="AE84" s="95" t="e">
        <f>VLOOKUP(B84,COHVPI!A:E,5,0)</f>
        <v>#N/A</v>
      </c>
      <c r="AF84" s="95" t="e">
        <f t="shared" si="3"/>
        <v>#N/A</v>
      </c>
      <c r="AG84"/>
      <c r="AH84" s="67"/>
      <c r="AI84"/>
      <c r="AJ84" s="95"/>
    </row>
    <row r="85" spans="1:36" s="27" customFormat="1" ht="16.5" customHeight="1" x14ac:dyDescent="0.25">
      <c r="A85" s="78">
        <v>12</v>
      </c>
      <c r="B85" s="78">
        <v>1961558</v>
      </c>
      <c r="C85" s="79" t="s">
        <v>704</v>
      </c>
      <c r="D85" s="26">
        <v>9500</v>
      </c>
      <c r="E85" s="77">
        <f>_xlfn.XLOOKUP(B85,COHVPI!A:A,COHVPI!E:E,0,0,1)</f>
        <v>0</v>
      </c>
      <c r="F85" s="77" t="e">
        <f>_xlfn.XLOOKUP(B85,COHVPI!A:A,COHVPI!F:F)</f>
        <v>#N/A</v>
      </c>
      <c r="G85" s="74">
        <v>460884</v>
      </c>
      <c r="H85" s="111" t="s">
        <v>647</v>
      </c>
      <c r="I85" s="172">
        <v>46154</v>
      </c>
      <c r="J85" s="134">
        <v>46155</v>
      </c>
      <c r="K85" s="72"/>
      <c r="L85" s="72"/>
      <c r="M85" s="72"/>
      <c r="N85" s="105" t="e">
        <f>_xlfn.XLOOKUP('Linhas Rápidas'!B85,COHVPI!A:A,COHVPI!I:I)</f>
        <v>#N/A</v>
      </c>
      <c r="O85" s="176" t="s">
        <v>21</v>
      </c>
      <c r="P85" s="257" t="s">
        <v>820</v>
      </c>
      <c r="Q85"/>
      <c r="R85" s="262"/>
      <c r="S85" s="265"/>
      <c r="T85" s="268"/>
      <c r="U85" s="271" t="e">
        <f>_xlfn.XLOOKUP(T85,COHVPI!A:A,COHVPI!F:F)</f>
        <v>#N/A</v>
      </c>
      <c r="V85" s="274"/>
      <c r="W85" s="277"/>
      <c r="X85" s="277"/>
      <c r="Y85"/>
      <c r="Z85"/>
      <c r="AA85"/>
      <c r="AB85"/>
      <c r="AD85" t="e">
        <f>VLOOKUP(B85,COHVPI!A:N,14,0)</f>
        <v>#N/A</v>
      </c>
      <c r="AE85" s="95" t="e">
        <f>VLOOKUP(B85,COHVPI!A:E,5,0)</f>
        <v>#N/A</v>
      </c>
      <c r="AF85" s="95" t="e">
        <f t="shared" si="3"/>
        <v>#N/A</v>
      </c>
      <c r="AG85"/>
      <c r="AH85" s="67"/>
      <c r="AI85"/>
      <c r="AJ85" s="95"/>
    </row>
    <row r="86" spans="1:36" s="27" customFormat="1" ht="16.5" customHeight="1" x14ac:dyDescent="0.25">
      <c r="A86" s="78">
        <v>12</v>
      </c>
      <c r="B86" s="78">
        <v>1961559</v>
      </c>
      <c r="C86" s="79" t="s">
        <v>705</v>
      </c>
      <c r="D86" s="26">
        <v>9500</v>
      </c>
      <c r="E86" s="77">
        <f>_xlfn.XLOOKUP(B86,COHVPI!A:A,COHVPI!E:E,0,0,1)</f>
        <v>0</v>
      </c>
      <c r="F86" s="77" t="e">
        <f>_xlfn.XLOOKUP(B86,COHVPI!A:A,COHVPI!F:F)</f>
        <v>#N/A</v>
      </c>
      <c r="G86" s="74">
        <v>460884</v>
      </c>
      <c r="H86" s="111" t="s">
        <v>647</v>
      </c>
      <c r="I86" s="172">
        <v>46154</v>
      </c>
      <c r="J86" s="134">
        <v>46155</v>
      </c>
      <c r="K86" s="72"/>
      <c r="L86" s="72"/>
      <c r="M86" s="72"/>
      <c r="N86" s="105" t="e">
        <f>_xlfn.XLOOKUP('Linhas Rápidas'!B86,COHVPI!A:A,COHVPI!I:I)</f>
        <v>#N/A</v>
      </c>
      <c r="O86" s="176" t="s">
        <v>21</v>
      </c>
      <c r="P86" s="257" t="s">
        <v>820</v>
      </c>
      <c r="Q86"/>
      <c r="R86" s="263"/>
      <c r="S86" s="266"/>
      <c r="T86" s="269"/>
      <c r="U86" s="272"/>
      <c r="V86" s="275"/>
      <c r="W86" s="278"/>
      <c r="X86" s="278"/>
      <c r="Y86"/>
      <c r="Z86"/>
      <c r="AA86"/>
      <c r="AB86"/>
      <c r="AD86" t="e">
        <f>VLOOKUP(B86,COHVPI!A:N,14,0)</f>
        <v>#N/A</v>
      </c>
      <c r="AE86" s="95" t="e">
        <f>VLOOKUP(B86,COHVPI!A:E,5,0)</f>
        <v>#N/A</v>
      </c>
      <c r="AF86" s="95" t="e">
        <f t="shared" si="3"/>
        <v>#N/A</v>
      </c>
      <c r="AG86"/>
      <c r="AH86" s="67"/>
      <c r="AI86"/>
      <c r="AJ86" s="95"/>
    </row>
    <row r="87" spans="1:36" s="27" customFormat="1" ht="16.5" customHeight="1" x14ac:dyDescent="0.25">
      <c r="A87" s="78">
        <v>12</v>
      </c>
      <c r="B87" s="78">
        <v>1961560</v>
      </c>
      <c r="C87" s="79" t="s">
        <v>706</v>
      </c>
      <c r="D87" s="26">
        <v>9500</v>
      </c>
      <c r="E87" s="77">
        <f>_xlfn.XLOOKUP(B87,COHVPI!A:A,COHVPI!E:E,0,0,1)</f>
        <v>0</v>
      </c>
      <c r="F87" s="77" t="e">
        <f>_xlfn.XLOOKUP(B87,COHVPI!A:A,COHVPI!F:F)</f>
        <v>#N/A</v>
      </c>
      <c r="G87" s="74">
        <v>460884</v>
      </c>
      <c r="H87" s="111" t="s">
        <v>647</v>
      </c>
      <c r="I87" s="172">
        <v>46155</v>
      </c>
      <c r="J87" s="134">
        <v>46156</v>
      </c>
      <c r="K87" s="72"/>
      <c r="L87" s="72"/>
      <c r="M87" s="72"/>
      <c r="N87" s="105" t="e">
        <f>_xlfn.XLOOKUP('Linhas Rápidas'!B87,COHVPI!A:A,COHVPI!I:I)</f>
        <v>#N/A</v>
      </c>
      <c r="O87" s="176" t="s">
        <v>21</v>
      </c>
      <c r="P87" s="257" t="s">
        <v>820</v>
      </c>
      <c r="Q87"/>
      <c r="R87" s="261" t="s">
        <v>68</v>
      </c>
      <c r="S87" s="281" t="s">
        <v>69</v>
      </c>
      <c r="T87" s="267">
        <v>1961420</v>
      </c>
      <c r="U87" s="270">
        <f>_xlfn.XLOOKUP(T87,COHVPI!A:A,COHVPI!F:F)</f>
        <v>0</v>
      </c>
      <c r="V87" s="273">
        <f>_xlfn.XLOOKUP(T87,COHVPI!A:A,COHVPI!I:I)</f>
        <v>46155</v>
      </c>
      <c r="W87" s="276">
        <f>X87/24</f>
        <v>7846.166666666667</v>
      </c>
      <c r="X87" s="276">
        <f>47077*4</f>
        <v>188308</v>
      </c>
      <c r="Y87"/>
      <c r="Z87"/>
      <c r="AA87"/>
      <c r="AB87"/>
      <c r="AD87" t="e">
        <f>VLOOKUP(B87,COHVPI!A:N,14,0)</f>
        <v>#N/A</v>
      </c>
      <c r="AE87" s="95" t="e">
        <f>VLOOKUP(B87,COHVPI!A:E,5,0)</f>
        <v>#N/A</v>
      </c>
      <c r="AF87" s="95" t="e">
        <f t="shared" si="3"/>
        <v>#N/A</v>
      </c>
      <c r="AG87"/>
      <c r="AH87" s="67"/>
      <c r="AI87"/>
      <c r="AJ87" s="95"/>
    </row>
    <row r="88" spans="1:36" s="27" customFormat="1" ht="16.5" customHeight="1" x14ac:dyDescent="0.25">
      <c r="A88" s="78">
        <v>12</v>
      </c>
      <c r="B88" s="78">
        <v>1961561</v>
      </c>
      <c r="C88" s="79" t="s">
        <v>707</v>
      </c>
      <c r="D88" s="26">
        <v>9500</v>
      </c>
      <c r="E88" s="77">
        <f>_xlfn.XLOOKUP(B88,COHVPI!A:A,COHVPI!E:E,0,0,1)</f>
        <v>0</v>
      </c>
      <c r="F88" s="77" t="e">
        <f>_xlfn.XLOOKUP(B88,COHVPI!A:A,COHVPI!F:F)</f>
        <v>#N/A</v>
      </c>
      <c r="G88" s="74">
        <v>460884</v>
      </c>
      <c r="H88" s="111" t="s">
        <v>647</v>
      </c>
      <c r="I88" s="172">
        <v>46155</v>
      </c>
      <c r="J88" s="134">
        <v>46156</v>
      </c>
      <c r="K88" s="72"/>
      <c r="L88" s="72"/>
      <c r="M88" s="72"/>
      <c r="N88" s="105" t="e">
        <f>_xlfn.XLOOKUP('Linhas Rápidas'!B88,COHVPI!A:A,COHVPI!I:I)</f>
        <v>#N/A</v>
      </c>
      <c r="O88" s="176" t="s">
        <v>21</v>
      </c>
      <c r="P88" s="257" t="s">
        <v>820</v>
      </c>
      <c r="Q88"/>
      <c r="R88" s="262"/>
      <c r="S88" s="265"/>
      <c r="T88" s="268"/>
      <c r="U88" s="271"/>
      <c r="V88" s="274"/>
      <c r="W88" s="277"/>
      <c r="X88" s="277"/>
      <c r="Y88"/>
      <c r="Z88"/>
      <c r="AA88"/>
      <c r="AB88"/>
      <c r="AD88" t="e">
        <f>VLOOKUP(B88,COHVPI!A:N,14,0)</f>
        <v>#N/A</v>
      </c>
      <c r="AE88" s="95" t="e">
        <f>VLOOKUP(B88,COHVPI!A:E,5,0)</f>
        <v>#N/A</v>
      </c>
      <c r="AF88" s="95" t="e">
        <f t="shared" si="3"/>
        <v>#N/A</v>
      </c>
      <c r="AG88"/>
      <c r="AH88" s="67"/>
      <c r="AI88"/>
      <c r="AJ88" s="95"/>
    </row>
    <row r="89" spans="1:36" s="27" customFormat="1" ht="16.5" customHeight="1" x14ac:dyDescent="0.25">
      <c r="A89" s="78">
        <v>12</v>
      </c>
      <c r="B89" s="78">
        <v>1961562</v>
      </c>
      <c r="C89" s="79" t="s">
        <v>708</v>
      </c>
      <c r="D89" s="26">
        <v>9500</v>
      </c>
      <c r="E89" s="77">
        <f>_xlfn.XLOOKUP(B89,COHVPI!A:A,COHVPI!E:E,0,0,1)</f>
        <v>0</v>
      </c>
      <c r="F89" s="77" t="e">
        <f>_xlfn.XLOOKUP(B89,COHVPI!A:A,COHVPI!F:F)</f>
        <v>#N/A</v>
      </c>
      <c r="G89" s="74">
        <v>460884</v>
      </c>
      <c r="H89" s="111" t="s">
        <v>647</v>
      </c>
      <c r="I89" s="172">
        <v>46155</v>
      </c>
      <c r="J89" s="134">
        <v>46156</v>
      </c>
      <c r="K89" s="72"/>
      <c r="L89" s="72"/>
      <c r="M89" s="72"/>
      <c r="N89" s="105" t="e">
        <f>_xlfn.XLOOKUP('Linhas Rápidas'!B89,COHVPI!A:A,COHVPI!I:I)</f>
        <v>#N/A</v>
      </c>
      <c r="O89" s="176" t="s">
        <v>21</v>
      </c>
      <c r="P89" s="257" t="s">
        <v>820</v>
      </c>
      <c r="Q89"/>
      <c r="R89" s="262"/>
      <c r="S89" s="265"/>
      <c r="T89" s="268"/>
      <c r="U89" s="271">
        <f>_xlfn.XLOOKUP(T89,COHVPI!A:A,COHVPI!F:F)</f>
        <v>0</v>
      </c>
      <c r="V89" s="274"/>
      <c r="W89" s="277"/>
      <c r="X89" s="277"/>
      <c r="Y89"/>
      <c r="Z89"/>
      <c r="AA89"/>
      <c r="AB89"/>
      <c r="AD89" t="e">
        <f>VLOOKUP(B89,COHVPI!A:N,14,0)</f>
        <v>#N/A</v>
      </c>
      <c r="AE89" s="95" t="e">
        <f>VLOOKUP(B89,COHVPI!A:E,5,0)</f>
        <v>#N/A</v>
      </c>
      <c r="AF89" s="95" t="e">
        <f t="shared" si="3"/>
        <v>#N/A</v>
      </c>
      <c r="AG89"/>
      <c r="AH89" s="67"/>
      <c r="AI89"/>
      <c r="AJ89" s="95"/>
    </row>
    <row r="90" spans="1:36" s="27" customFormat="1" ht="16.5" customHeight="1" x14ac:dyDescent="0.25">
      <c r="A90" s="78">
        <v>12</v>
      </c>
      <c r="B90" s="78">
        <v>1961563</v>
      </c>
      <c r="C90" s="79" t="s">
        <v>709</v>
      </c>
      <c r="D90" s="26">
        <v>9500</v>
      </c>
      <c r="E90" s="77">
        <f>_xlfn.XLOOKUP(B90,COHVPI!A:A,COHVPI!E:E,0,0,1)</f>
        <v>0</v>
      </c>
      <c r="F90" s="77" t="e">
        <f>_xlfn.XLOOKUP(B90,COHVPI!A:A,COHVPI!F:F)</f>
        <v>#N/A</v>
      </c>
      <c r="G90" s="74">
        <v>460884</v>
      </c>
      <c r="H90" s="111" t="s">
        <v>647</v>
      </c>
      <c r="I90" s="172">
        <v>46155</v>
      </c>
      <c r="J90" s="134">
        <v>46156</v>
      </c>
      <c r="K90" s="72"/>
      <c r="L90" s="72"/>
      <c r="M90" s="72"/>
      <c r="N90" s="105" t="e">
        <f>_xlfn.XLOOKUP('Linhas Rápidas'!B90,COHVPI!A:A,COHVPI!I:I)</f>
        <v>#N/A</v>
      </c>
      <c r="O90" s="176" t="s">
        <v>21</v>
      </c>
      <c r="P90" s="257" t="s">
        <v>820</v>
      </c>
      <c r="Q90"/>
      <c r="R90" s="263"/>
      <c r="S90" s="266"/>
      <c r="T90" s="269"/>
      <c r="U90" s="272"/>
      <c r="V90" s="275"/>
      <c r="W90" s="278"/>
      <c r="X90" s="278"/>
      <c r="Y90"/>
      <c r="Z90"/>
      <c r="AA90"/>
      <c r="AB90"/>
      <c r="AD90" t="e">
        <f>VLOOKUP(B90,COHVPI!A:N,14,0)</f>
        <v>#N/A</v>
      </c>
      <c r="AE90" s="95" t="e">
        <f>VLOOKUP(B90,COHVPI!A:E,5,0)</f>
        <v>#N/A</v>
      </c>
      <c r="AF90" s="95" t="e">
        <f t="shared" si="3"/>
        <v>#N/A</v>
      </c>
      <c r="AG90"/>
      <c r="AH90" s="67"/>
      <c r="AI90"/>
      <c r="AJ90" s="95"/>
    </row>
    <row r="91" spans="1:36" s="27" customFormat="1" ht="16.5" customHeight="1" x14ac:dyDescent="0.25">
      <c r="A91" s="244">
        <v>12</v>
      </c>
      <c r="B91" s="244">
        <v>1961652</v>
      </c>
      <c r="C91" s="245" t="s">
        <v>710</v>
      </c>
      <c r="D91" s="235">
        <v>9500</v>
      </c>
      <c r="E91" s="246" t="e">
        <f>_xlfn.XLOOKUP(A91,COHVPI!#REF!,COHVPI!E:E)</f>
        <v>#REF!</v>
      </c>
      <c r="F91" s="246" t="e">
        <f>_xlfn.XLOOKUP(B91,COHVPI!A:A,COHVPI!F:F)</f>
        <v>#N/A</v>
      </c>
      <c r="G91" s="238">
        <v>470545</v>
      </c>
      <c r="H91" s="239" t="s">
        <v>648</v>
      </c>
      <c r="I91" s="172">
        <v>46157</v>
      </c>
      <c r="J91" s="134">
        <v>46157</v>
      </c>
      <c r="K91" s="241"/>
      <c r="L91" s="241"/>
      <c r="M91" s="241"/>
      <c r="N91" s="247" t="e">
        <f>_xlfn.XLOOKUP('Linhas Rápidas'!B91,COHVPI!A:A,COHVPI!I:I)</f>
        <v>#N/A</v>
      </c>
      <c r="O91" s="243" t="s">
        <v>818</v>
      </c>
      <c r="P91" s="257" t="s">
        <v>820</v>
      </c>
      <c r="Q91"/>
      <c r="R91" s="97" t="s">
        <v>585</v>
      </c>
      <c r="S91" s="114" t="s">
        <v>586</v>
      </c>
      <c r="T91" s="25">
        <v>1961425</v>
      </c>
      <c r="U91" s="207"/>
      <c r="V91" s="208"/>
      <c r="W91" s="104">
        <f>X91/24</f>
        <v>1979</v>
      </c>
      <c r="X91" s="104">
        <v>47496</v>
      </c>
      <c r="Y91"/>
      <c r="Z91"/>
      <c r="AA91"/>
      <c r="AB91"/>
      <c r="AD91"/>
      <c r="AE91" s="95"/>
      <c r="AF91" s="95"/>
      <c r="AG91"/>
      <c r="AH91" s="67"/>
      <c r="AI91"/>
      <c r="AJ91" s="95"/>
    </row>
    <row r="92" spans="1:36" s="27" customFormat="1" ht="16.5" customHeight="1" x14ac:dyDescent="0.25">
      <c r="A92" s="91"/>
      <c r="B92" s="91"/>
      <c r="C92" s="92"/>
      <c r="D92" s="100"/>
      <c r="E92" s="100"/>
      <c r="F92" s="100"/>
      <c r="G92" s="93"/>
      <c r="H92" s="112" t="s">
        <v>838</v>
      </c>
      <c r="I92" s="94"/>
      <c r="J92" s="259"/>
      <c r="K92" s="94"/>
      <c r="L92" s="94"/>
      <c r="M92" s="94"/>
      <c r="N92" s="101"/>
      <c r="O92" s="177"/>
      <c r="P92" s="94"/>
      <c r="Q92"/>
      <c r="R92" s="282" t="s">
        <v>838</v>
      </c>
      <c r="S92" s="283"/>
      <c r="T92" s="283"/>
      <c r="U92" s="283"/>
      <c r="V92" s="283"/>
      <c r="W92" s="283"/>
      <c r="X92" s="283"/>
      <c r="Y92"/>
      <c r="Z92"/>
      <c r="AA92"/>
      <c r="AB92"/>
      <c r="AD92" t="e">
        <f>VLOOKUP(B92,COHVPI!A:N,14,0)</f>
        <v>#N/A</v>
      </c>
      <c r="AE92" s="95" t="e">
        <f>VLOOKUP(B92,COHVPI!A:E,5,0)</f>
        <v>#N/A</v>
      </c>
      <c r="AF92" s="95" t="e">
        <f t="shared" ref="AF92:AF104" si="4">AE92-D92</f>
        <v>#N/A</v>
      </c>
      <c r="AG92"/>
      <c r="AH92" s="67"/>
      <c r="AI92"/>
      <c r="AJ92" s="95"/>
    </row>
    <row r="93" spans="1:36" s="27" customFormat="1" ht="16.5" customHeight="1" x14ac:dyDescent="0.25">
      <c r="A93" s="78">
        <v>12</v>
      </c>
      <c r="B93" s="78">
        <v>1961667</v>
      </c>
      <c r="C93" s="79" t="s">
        <v>726</v>
      </c>
      <c r="D93" s="26">
        <v>9500</v>
      </c>
      <c r="E93" s="77" t="e">
        <f>_xlfn.XLOOKUP(A93,COHVPI!#REF!,COHVPI!E:E)</f>
        <v>#REF!</v>
      </c>
      <c r="F93" s="77" t="e">
        <f>_xlfn.XLOOKUP(B93,COHVPI!A:A,COHVPI!F:F)</f>
        <v>#N/A</v>
      </c>
      <c r="G93" s="74">
        <v>460879</v>
      </c>
      <c r="H93" s="111" t="s">
        <v>649</v>
      </c>
      <c r="I93" s="172">
        <v>46157</v>
      </c>
      <c r="J93" s="134">
        <v>46157</v>
      </c>
      <c r="K93" s="72"/>
      <c r="L93" s="72"/>
      <c r="M93" s="72"/>
      <c r="N93" s="105" t="e">
        <f>_xlfn.XLOOKUP('Linhas Rápidas'!B93,COHVPI!A:A,COHVPI!I:I)</f>
        <v>#N/A</v>
      </c>
      <c r="O93" s="176" t="s">
        <v>21</v>
      </c>
      <c r="P93" s="257" t="s">
        <v>826</v>
      </c>
      <c r="Q93"/>
      <c r="R93" s="261" t="s">
        <v>80</v>
      </c>
      <c r="S93" s="281" t="s">
        <v>81</v>
      </c>
      <c r="T93" s="267">
        <v>1961450</v>
      </c>
      <c r="U93" s="270">
        <f>_xlfn.XLOOKUP(T93,COHVPI!A:A,COHVPI!F:F)</f>
        <v>0</v>
      </c>
      <c r="V93" s="273">
        <f>_xlfn.XLOOKUP(T93,COHVPI!A:A,COHVPI!I:I)</f>
        <v>46156</v>
      </c>
      <c r="W93" s="276">
        <f>X93/24</f>
        <v>7829.5</v>
      </c>
      <c r="X93" s="276">
        <f>46977*4</f>
        <v>187908</v>
      </c>
      <c r="Y93"/>
      <c r="Z93"/>
      <c r="AA93"/>
      <c r="AB93"/>
      <c r="AD93" t="e">
        <f>VLOOKUP(B93,COHVPI!A:N,14,0)</f>
        <v>#N/A</v>
      </c>
      <c r="AE93" s="95" t="e">
        <f>VLOOKUP(B93,COHVPI!A:E,5,0)</f>
        <v>#N/A</v>
      </c>
      <c r="AF93" s="95" t="e">
        <f t="shared" si="4"/>
        <v>#N/A</v>
      </c>
      <c r="AG93"/>
      <c r="AH93" s="67"/>
      <c r="AI93"/>
      <c r="AJ93" s="95"/>
    </row>
    <row r="94" spans="1:36" s="27" customFormat="1" ht="16.5" customHeight="1" x14ac:dyDescent="0.25">
      <c r="A94" s="78">
        <v>12</v>
      </c>
      <c r="B94" s="78">
        <v>1961668</v>
      </c>
      <c r="C94" s="79" t="s">
        <v>727</v>
      </c>
      <c r="D94" s="26">
        <v>9500</v>
      </c>
      <c r="E94" s="77" t="e">
        <f>_xlfn.XLOOKUP(A94,COHVPI!#REF!,COHVPI!E:E)</f>
        <v>#REF!</v>
      </c>
      <c r="F94" s="77" t="e">
        <f>_xlfn.XLOOKUP(B94,COHVPI!A:A,COHVPI!F:F)</f>
        <v>#N/A</v>
      </c>
      <c r="G94" s="74">
        <v>460879</v>
      </c>
      <c r="H94" s="111" t="s">
        <v>649</v>
      </c>
      <c r="I94" s="172">
        <v>46157</v>
      </c>
      <c r="J94" s="134">
        <v>46157</v>
      </c>
      <c r="K94" s="72"/>
      <c r="L94" s="72"/>
      <c r="M94" s="72"/>
      <c r="N94" s="105" t="e">
        <f>_xlfn.XLOOKUP('Linhas Rápidas'!B94,COHVPI!A:A,COHVPI!I:I)</f>
        <v>#N/A</v>
      </c>
      <c r="O94" s="176" t="s">
        <v>21</v>
      </c>
      <c r="P94" s="257" t="s">
        <v>826</v>
      </c>
      <c r="Q94"/>
      <c r="R94" s="262"/>
      <c r="S94" s="265"/>
      <c r="T94" s="268"/>
      <c r="U94" s="271"/>
      <c r="V94" s="274"/>
      <c r="W94" s="277"/>
      <c r="X94" s="277"/>
      <c r="Y94"/>
      <c r="Z94"/>
      <c r="AA94"/>
      <c r="AB94"/>
      <c r="AD94" t="e">
        <f>VLOOKUP(B94,COHVPI!A:N,14,0)</f>
        <v>#N/A</v>
      </c>
      <c r="AE94" s="95" t="e">
        <f>VLOOKUP(B94,COHVPI!A:E,5,0)</f>
        <v>#N/A</v>
      </c>
      <c r="AF94" s="95" t="e">
        <f t="shared" si="4"/>
        <v>#N/A</v>
      </c>
      <c r="AG94"/>
      <c r="AH94" s="67"/>
      <c r="AI94"/>
      <c r="AJ94" s="95"/>
    </row>
    <row r="95" spans="1:36" s="27" customFormat="1" ht="16.5" customHeight="1" x14ac:dyDescent="0.25">
      <c r="A95" s="78">
        <v>12</v>
      </c>
      <c r="B95" s="78">
        <v>1961669</v>
      </c>
      <c r="C95" s="79" t="s">
        <v>728</v>
      </c>
      <c r="D95" s="26">
        <v>9500</v>
      </c>
      <c r="E95" s="77" t="e">
        <f>_xlfn.XLOOKUP(A95,COHVPI!#REF!,COHVPI!E:E)</f>
        <v>#REF!</v>
      </c>
      <c r="F95" s="77" t="e">
        <f>_xlfn.XLOOKUP(B95,COHVPI!A:A,COHVPI!F:F)</f>
        <v>#N/A</v>
      </c>
      <c r="G95" s="74">
        <v>460879</v>
      </c>
      <c r="H95" s="111" t="s">
        <v>649</v>
      </c>
      <c r="I95" s="172">
        <v>46158</v>
      </c>
      <c r="J95" s="134">
        <v>46158</v>
      </c>
      <c r="K95" s="72"/>
      <c r="L95" s="72"/>
      <c r="M95" s="72"/>
      <c r="N95" s="105" t="e">
        <f>_xlfn.XLOOKUP('Linhas Rápidas'!B95,COHVPI!A:A,COHVPI!I:I)</f>
        <v>#N/A</v>
      </c>
      <c r="O95" s="176" t="s">
        <v>21</v>
      </c>
      <c r="P95" s="257" t="s">
        <v>826</v>
      </c>
      <c r="Q95"/>
      <c r="R95" s="262"/>
      <c r="S95" s="265"/>
      <c r="T95" s="268"/>
      <c r="U95" s="271">
        <f>_xlfn.XLOOKUP(T95,COHVPI!A:A,COHVPI!F:F)</f>
        <v>0</v>
      </c>
      <c r="V95" s="274"/>
      <c r="W95" s="277"/>
      <c r="X95" s="277"/>
      <c r="Y95"/>
      <c r="Z95"/>
      <c r="AA95"/>
      <c r="AB95"/>
      <c r="AD95" t="e">
        <f>VLOOKUP(B95,COHVPI!A:N,14,0)</f>
        <v>#N/A</v>
      </c>
      <c r="AE95" s="95" t="e">
        <f>VLOOKUP(B95,COHVPI!A:E,5,0)</f>
        <v>#N/A</v>
      </c>
      <c r="AF95" s="95" t="e">
        <f t="shared" si="4"/>
        <v>#N/A</v>
      </c>
      <c r="AG95"/>
      <c r="AH95" s="67"/>
      <c r="AI95"/>
      <c r="AJ95" s="95"/>
    </row>
    <row r="96" spans="1:36" s="27" customFormat="1" ht="16.5" customHeight="1" x14ac:dyDescent="0.25">
      <c r="A96" s="78">
        <v>12</v>
      </c>
      <c r="B96" s="78">
        <v>1961670</v>
      </c>
      <c r="C96" s="79" t="s">
        <v>729</v>
      </c>
      <c r="D96" s="26">
        <v>9500</v>
      </c>
      <c r="E96" s="77" t="e">
        <f>_xlfn.XLOOKUP(A96,COHVPI!#REF!,COHVPI!E:E)</f>
        <v>#REF!</v>
      </c>
      <c r="F96" s="77" t="e">
        <f>_xlfn.XLOOKUP(B96,COHVPI!A:A,COHVPI!F:F)</f>
        <v>#N/A</v>
      </c>
      <c r="G96" s="74">
        <v>460879</v>
      </c>
      <c r="H96" s="111" t="s">
        <v>649</v>
      </c>
      <c r="I96" s="172">
        <v>46158</v>
      </c>
      <c r="J96" s="134">
        <v>46158</v>
      </c>
      <c r="K96" s="72"/>
      <c r="L96" s="72"/>
      <c r="M96" s="72"/>
      <c r="N96" s="105" t="e">
        <f>_xlfn.XLOOKUP('Linhas Rápidas'!B96,COHVPI!A:A,COHVPI!I:I)</f>
        <v>#N/A</v>
      </c>
      <c r="O96" s="176" t="s">
        <v>21</v>
      </c>
      <c r="P96" s="257" t="s">
        <v>826</v>
      </c>
      <c r="Q96"/>
      <c r="R96" s="263"/>
      <c r="S96" s="266"/>
      <c r="T96" s="269"/>
      <c r="U96" s="272"/>
      <c r="V96" s="275"/>
      <c r="W96" s="278"/>
      <c r="X96" s="278"/>
      <c r="Y96"/>
      <c r="Z96"/>
      <c r="AA96"/>
      <c r="AB96"/>
      <c r="AD96" t="e">
        <f>VLOOKUP(B96,COHVPI!A:N,14,0)</f>
        <v>#N/A</v>
      </c>
      <c r="AE96" s="95" t="e">
        <f>VLOOKUP(B96,COHVPI!A:E,5,0)</f>
        <v>#N/A</v>
      </c>
      <c r="AF96" s="95" t="e">
        <f t="shared" si="4"/>
        <v>#N/A</v>
      </c>
      <c r="AG96"/>
      <c r="AH96" s="67"/>
      <c r="AI96"/>
      <c r="AJ96" s="95"/>
    </row>
    <row r="97" spans="1:36" s="27" customFormat="1" ht="16.5" customHeight="1" x14ac:dyDescent="0.25">
      <c r="A97" s="78">
        <v>12</v>
      </c>
      <c r="B97" s="78">
        <v>1961671</v>
      </c>
      <c r="C97" s="79" t="s">
        <v>730</v>
      </c>
      <c r="D97" s="26">
        <v>9500</v>
      </c>
      <c r="E97" s="77" t="e">
        <f>_xlfn.XLOOKUP(A97,COHVPI!#REF!,COHVPI!E:E)</f>
        <v>#REF!</v>
      </c>
      <c r="F97" s="77" t="e">
        <f>_xlfn.XLOOKUP(B97,COHVPI!A:A,COHVPI!F:F)</f>
        <v>#N/A</v>
      </c>
      <c r="G97" s="74">
        <v>460879</v>
      </c>
      <c r="H97" s="111" t="s">
        <v>649</v>
      </c>
      <c r="I97" s="172">
        <v>46158</v>
      </c>
      <c r="J97" s="134">
        <v>46158</v>
      </c>
      <c r="K97" s="72"/>
      <c r="L97" s="72"/>
      <c r="M97" s="72"/>
      <c r="N97" s="105" t="e">
        <f>_xlfn.XLOOKUP('Linhas Rápidas'!B97,COHVPI!A:A,COHVPI!I:I)</f>
        <v>#N/A</v>
      </c>
      <c r="O97" s="176" t="s">
        <v>21</v>
      </c>
      <c r="P97" s="257" t="s">
        <v>824</v>
      </c>
      <c r="Q97"/>
      <c r="R97" s="261" t="s">
        <v>80</v>
      </c>
      <c r="S97" s="281" t="s">
        <v>81</v>
      </c>
      <c r="T97" s="267">
        <v>1961453</v>
      </c>
      <c r="U97" s="270">
        <f>_xlfn.XLOOKUP(T97,COHVPI!A:A,COHVPI!F:F)</f>
        <v>0</v>
      </c>
      <c r="V97" s="273">
        <f>_xlfn.XLOOKUP(T97,COHVPI!A:A,COHVPI!I:I)</f>
        <v>46157</v>
      </c>
      <c r="W97" s="276">
        <f>X97/24</f>
        <v>7829.5</v>
      </c>
      <c r="X97" s="276">
        <f>46977*4</f>
        <v>187908</v>
      </c>
      <c r="Y97"/>
      <c r="Z97"/>
      <c r="AA97"/>
      <c r="AB97"/>
      <c r="AD97" t="e">
        <f>VLOOKUP(B97,COHVPI!A:N,14,0)</f>
        <v>#N/A</v>
      </c>
      <c r="AE97" s="95" t="e">
        <f>VLOOKUP(B97,COHVPI!A:E,5,0)</f>
        <v>#N/A</v>
      </c>
      <c r="AF97" s="95" t="e">
        <f t="shared" si="4"/>
        <v>#N/A</v>
      </c>
      <c r="AG97"/>
      <c r="AH97" s="67"/>
      <c r="AI97"/>
      <c r="AJ97" s="95"/>
    </row>
    <row r="98" spans="1:36" s="27" customFormat="1" ht="16.5" customHeight="1" x14ac:dyDescent="0.25">
      <c r="A98" s="78">
        <v>12</v>
      </c>
      <c r="B98" s="78">
        <v>1961672</v>
      </c>
      <c r="C98" s="79" t="s">
        <v>731</v>
      </c>
      <c r="D98" s="26">
        <v>9500</v>
      </c>
      <c r="E98" s="77" t="e">
        <f>_xlfn.XLOOKUP(A98,COHVPI!#REF!,COHVPI!E:E)</f>
        <v>#REF!</v>
      </c>
      <c r="F98" s="77" t="e">
        <f>_xlfn.XLOOKUP(B98,COHVPI!A:A,COHVPI!F:F)</f>
        <v>#N/A</v>
      </c>
      <c r="G98" s="74">
        <v>460879</v>
      </c>
      <c r="H98" s="111" t="s">
        <v>649</v>
      </c>
      <c r="I98" s="172">
        <v>46158</v>
      </c>
      <c r="J98" s="134">
        <v>46158</v>
      </c>
      <c r="K98" s="72"/>
      <c r="L98" s="72"/>
      <c r="M98" s="72"/>
      <c r="N98" s="105" t="e">
        <f>_xlfn.XLOOKUP('Linhas Rápidas'!B98,COHVPI!A:A,COHVPI!I:I)</f>
        <v>#N/A</v>
      </c>
      <c r="O98" s="176" t="s">
        <v>21</v>
      </c>
      <c r="P98" s="257" t="s">
        <v>824</v>
      </c>
      <c r="Q98"/>
      <c r="R98" s="262"/>
      <c r="S98" s="265"/>
      <c r="T98" s="268"/>
      <c r="U98" s="271"/>
      <c r="V98" s="274"/>
      <c r="W98" s="277"/>
      <c r="X98" s="277"/>
      <c r="Y98"/>
      <c r="Z98"/>
      <c r="AA98"/>
      <c r="AB98"/>
      <c r="AD98" t="e">
        <f>VLOOKUP(B98,COHVPI!A:N,14,0)</f>
        <v>#N/A</v>
      </c>
      <c r="AE98" s="95" t="e">
        <f>VLOOKUP(B98,COHVPI!A:E,5,0)</f>
        <v>#N/A</v>
      </c>
      <c r="AF98" s="95" t="e">
        <f t="shared" si="4"/>
        <v>#N/A</v>
      </c>
      <c r="AG98"/>
      <c r="AH98" s="67"/>
      <c r="AI98"/>
      <c r="AJ98" s="95"/>
    </row>
    <row r="99" spans="1:36" s="27" customFormat="1" ht="16.5" customHeight="1" x14ac:dyDescent="0.25">
      <c r="A99" s="78">
        <v>12</v>
      </c>
      <c r="B99" s="78">
        <v>1961673</v>
      </c>
      <c r="C99" s="79" t="s">
        <v>732</v>
      </c>
      <c r="D99" s="26">
        <v>9500</v>
      </c>
      <c r="E99" s="77" t="e">
        <f>_xlfn.XLOOKUP(A99,COHVPI!#REF!,COHVPI!E:E)</f>
        <v>#REF!</v>
      </c>
      <c r="F99" s="77" t="e">
        <f>_xlfn.XLOOKUP(B99,COHVPI!A:A,COHVPI!F:F)</f>
        <v>#N/A</v>
      </c>
      <c r="G99" s="74">
        <v>460879</v>
      </c>
      <c r="H99" s="111" t="s">
        <v>649</v>
      </c>
      <c r="I99" s="172">
        <v>46160</v>
      </c>
      <c r="J99" s="134">
        <v>46160</v>
      </c>
      <c r="K99" s="72"/>
      <c r="L99" s="72"/>
      <c r="M99" s="72"/>
      <c r="N99" s="105" t="e">
        <f>_xlfn.XLOOKUP('Linhas Rápidas'!B99,COHVPI!A:A,COHVPI!I:I)</f>
        <v>#N/A</v>
      </c>
      <c r="O99" s="176" t="s">
        <v>21</v>
      </c>
      <c r="P99" s="257" t="s">
        <v>824</v>
      </c>
      <c r="Q99"/>
      <c r="R99" s="262"/>
      <c r="S99" s="265"/>
      <c r="T99" s="268"/>
      <c r="U99" s="271">
        <f>_xlfn.XLOOKUP(T99,COHVPI!A:A,COHVPI!F:F)</f>
        <v>0</v>
      </c>
      <c r="V99" s="274"/>
      <c r="W99" s="277"/>
      <c r="X99" s="277"/>
      <c r="Y99"/>
      <c r="Z99"/>
      <c r="AA99"/>
      <c r="AB99"/>
      <c r="AD99" t="e">
        <f>VLOOKUP(B99,COHVPI!A:N,14,0)</f>
        <v>#N/A</v>
      </c>
      <c r="AE99" s="95" t="e">
        <f>VLOOKUP(B99,COHVPI!A:E,5,0)</f>
        <v>#N/A</v>
      </c>
      <c r="AF99" s="95" t="e">
        <f t="shared" si="4"/>
        <v>#N/A</v>
      </c>
      <c r="AG99"/>
      <c r="AH99" s="67"/>
      <c r="AI99"/>
      <c r="AJ99" s="95"/>
    </row>
    <row r="100" spans="1:36" s="27" customFormat="1" ht="16.5" customHeight="1" x14ac:dyDescent="0.25">
      <c r="A100" s="78">
        <v>12</v>
      </c>
      <c r="B100" s="78">
        <v>1961674</v>
      </c>
      <c r="C100" s="79" t="s">
        <v>733</v>
      </c>
      <c r="D100" s="26">
        <v>9500</v>
      </c>
      <c r="E100" s="77" t="e">
        <f>_xlfn.XLOOKUP(A100,COHVPI!#REF!,COHVPI!E:E)</f>
        <v>#REF!</v>
      </c>
      <c r="F100" s="77" t="e">
        <f>_xlfn.XLOOKUP(B100,COHVPI!A:A,COHVPI!F:F)</f>
        <v>#N/A</v>
      </c>
      <c r="G100" s="74">
        <v>460879</v>
      </c>
      <c r="H100" s="111" t="s">
        <v>649</v>
      </c>
      <c r="I100" s="172">
        <v>46160</v>
      </c>
      <c r="J100" s="134">
        <v>46160</v>
      </c>
      <c r="K100" s="72"/>
      <c r="L100" s="72"/>
      <c r="M100" s="72"/>
      <c r="N100" s="105" t="e">
        <f>_xlfn.XLOOKUP('Linhas Rápidas'!B100,COHVPI!A:A,COHVPI!I:I)</f>
        <v>#N/A</v>
      </c>
      <c r="O100" s="176" t="s">
        <v>21</v>
      </c>
      <c r="P100" s="257" t="s">
        <v>824</v>
      </c>
      <c r="Q100"/>
      <c r="R100" s="263"/>
      <c r="S100" s="266"/>
      <c r="T100" s="269"/>
      <c r="U100" s="272"/>
      <c r="V100" s="275"/>
      <c r="W100" s="278"/>
      <c r="X100" s="278"/>
      <c r="Y100"/>
      <c r="Z100"/>
      <c r="AA100"/>
      <c r="AB100"/>
      <c r="AD100" t="e">
        <f>VLOOKUP(B100,COHVPI!A:N,14,0)</f>
        <v>#N/A</v>
      </c>
      <c r="AE100" s="95" t="e">
        <f>VLOOKUP(B100,COHVPI!A:E,5,0)</f>
        <v>#N/A</v>
      </c>
      <c r="AF100" s="95" t="e">
        <f t="shared" si="4"/>
        <v>#N/A</v>
      </c>
      <c r="AG100"/>
      <c r="AH100" s="67"/>
      <c r="AI100"/>
      <c r="AJ100" s="95"/>
    </row>
    <row r="101" spans="1:36" s="35" customFormat="1" ht="16.5" customHeight="1" x14ac:dyDescent="0.25">
      <c r="A101" s="244">
        <v>12</v>
      </c>
      <c r="B101" s="244">
        <v>1961675</v>
      </c>
      <c r="C101" s="245" t="s">
        <v>734</v>
      </c>
      <c r="D101" s="235">
        <v>9500</v>
      </c>
      <c r="E101" s="246" t="e">
        <f>_xlfn.XLOOKUP(A101,COHVPI!#REF!,COHVPI!E:E)</f>
        <v>#REF!</v>
      </c>
      <c r="F101" s="246" t="e">
        <f>_xlfn.XLOOKUP(B101,COHVPI!A:A,COHVPI!F:F)</f>
        <v>#N/A</v>
      </c>
      <c r="G101" s="238">
        <v>460879</v>
      </c>
      <c r="H101" s="239" t="s">
        <v>649</v>
      </c>
      <c r="I101" s="172">
        <v>46160</v>
      </c>
      <c r="J101" s="241">
        <v>46160</v>
      </c>
      <c r="K101" s="241"/>
      <c r="L101" s="241"/>
      <c r="M101" s="241"/>
      <c r="N101" s="247" t="e">
        <f>_xlfn.XLOOKUP('Linhas Rápidas'!B101,COHVPI!A:A,COHVPI!I:I)</f>
        <v>#N/A</v>
      </c>
      <c r="O101" s="243" t="s">
        <v>827</v>
      </c>
      <c r="P101" s="260" t="s">
        <v>825</v>
      </c>
      <c r="R101" s="261" t="s">
        <v>80</v>
      </c>
      <c r="S101" s="281" t="s">
        <v>81</v>
      </c>
      <c r="T101" s="267">
        <v>1961456</v>
      </c>
      <c r="U101" s="270">
        <f>_xlfn.XLOOKUP(T101,COHVPI!A:A,COHVPI!F:F)</f>
        <v>0</v>
      </c>
      <c r="V101" s="273">
        <f>_xlfn.XLOOKUP(T101,COHVPI!A:A,COHVPI!I:I)</f>
        <v>46158</v>
      </c>
      <c r="W101" s="276">
        <f>X101/24</f>
        <v>7829.5</v>
      </c>
      <c r="X101" s="276">
        <f>46977*4</f>
        <v>187908</v>
      </c>
      <c r="Y101" s="27"/>
      <c r="AD101" s="35" t="e">
        <f>VLOOKUP(B101,COHVPI!A:N,14,0)</f>
        <v>#N/A</v>
      </c>
      <c r="AE101" s="173" t="e">
        <f>VLOOKUP(B101,COHVPI!A:E,5,0)</f>
        <v>#N/A</v>
      </c>
      <c r="AF101" s="173" t="e">
        <f t="shared" si="4"/>
        <v>#N/A</v>
      </c>
      <c r="AH101" s="173"/>
      <c r="AJ101" s="173"/>
    </row>
    <row r="102" spans="1:36" s="35" customFormat="1" ht="16.5" customHeight="1" x14ac:dyDescent="0.25">
      <c r="A102" s="244">
        <v>12</v>
      </c>
      <c r="B102" s="244">
        <v>1961676</v>
      </c>
      <c r="C102" s="245" t="s">
        <v>735</v>
      </c>
      <c r="D102" s="235">
        <v>9500</v>
      </c>
      <c r="E102" s="246" t="e">
        <f>_xlfn.XLOOKUP(A102,COHVPI!#REF!,COHVPI!E:E)</f>
        <v>#REF!</v>
      </c>
      <c r="F102" s="246" t="e">
        <f>_xlfn.XLOOKUP(B102,COHVPI!A:A,COHVPI!F:F)</f>
        <v>#N/A</v>
      </c>
      <c r="G102" s="238">
        <v>460879</v>
      </c>
      <c r="H102" s="239" t="s">
        <v>649</v>
      </c>
      <c r="I102" s="172">
        <v>46160</v>
      </c>
      <c r="J102" s="241">
        <v>46160</v>
      </c>
      <c r="K102" s="241"/>
      <c r="L102" s="241"/>
      <c r="M102" s="241"/>
      <c r="N102" s="247" t="e">
        <f>_xlfn.XLOOKUP('Linhas Rápidas'!B102,COHVPI!A:A,COHVPI!I:I)</f>
        <v>#N/A</v>
      </c>
      <c r="O102" s="243" t="s">
        <v>827</v>
      </c>
      <c r="P102" s="260" t="s">
        <v>825</v>
      </c>
      <c r="R102" s="262"/>
      <c r="S102" s="265"/>
      <c r="T102" s="268"/>
      <c r="U102" s="271"/>
      <c r="V102" s="274"/>
      <c r="W102" s="277"/>
      <c r="X102" s="277"/>
      <c r="Y102" s="27"/>
      <c r="AD102" s="35" t="e">
        <f>VLOOKUP(B102,COHVPI!A:N,14,0)</f>
        <v>#N/A</v>
      </c>
      <c r="AE102" s="173" t="e">
        <f>VLOOKUP(B102,COHVPI!A:E,5,0)</f>
        <v>#N/A</v>
      </c>
      <c r="AF102" s="173" t="e">
        <f t="shared" si="4"/>
        <v>#N/A</v>
      </c>
      <c r="AH102" s="173"/>
      <c r="AJ102" s="173"/>
    </row>
    <row r="103" spans="1:36" s="35" customFormat="1" ht="16.5" customHeight="1" x14ac:dyDescent="0.25">
      <c r="A103" s="244">
        <v>12</v>
      </c>
      <c r="B103" s="244">
        <v>1961677</v>
      </c>
      <c r="C103" s="245" t="s">
        <v>736</v>
      </c>
      <c r="D103" s="235">
        <v>9500</v>
      </c>
      <c r="E103" s="246" t="e">
        <f>_xlfn.XLOOKUP(A103,COHVPI!#REF!,COHVPI!E:E)</f>
        <v>#REF!</v>
      </c>
      <c r="F103" s="246" t="e">
        <f>_xlfn.XLOOKUP(B103,COHVPI!A:A,COHVPI!F:F)</f>
        <v>#N/A</v>
      </c>
      <c r="G103" s="238">
        <v>460879</v>
      </c>
      <c r="H103" s="239" t="s">
        <v>649</v>
      </c>
      <c r="I103" s="172">
        <v>46161</v>
      </c>
      <c r="J103" s="241">
        <v>46161</v>
      </c>
      <c r="K103" s="241"/>
      <c r="L103" s="241"/>
      <c r="M103" s="241"/>
      <c r="N103" s="247" t="e">
        <f>_xlfn.XLOOKUP('Linhas Rápidas'!B103,COHVPI!A:A,COHVPI!I:I)</f>
        <v>#N/A</v>
      </c>
      <c r="O103" s="243" t="s">
        <v>827</v>
      </c>
      <c r="P103" s="260" t="s">
        <v>825</v>
      </c>
      <c r="R103" s="262"/>
      <c r="S103" s="265"/>
      <c r="T103" s="268"/>
      <c r="U103" s="271">
        <f>_xlfn.XLOOKUP(T103,COHVPI!A:A,COHVPI!F:F)</f>
        <v>0</v>
      </c>
      <c r="V103" s="274"/>
      <c r="W103" s="277"/>
      <c r="X103" s="277"/>
      <c r="Y103" s="27"/>
      <c r="AD103" s="35" t="e">
        <f>VLOOKUP(B103,COHVPI!A:N,14,0)</f>
        <v>#N/A</v>
      </c>
      <c r="AE103" s="173" t="e">
        <f>VLOOKUP(B103,COHVPI!A:E,5,0)</f>
        <v>#N/A</v>
      </c>
      <c r="AF103" s="173" t="e">
        <f t="shared" si="4"/>
        <v>#N/A</v>
      </c>
      <c r="AH103" s="173"/>
      <c r="AJ103" s="173"/>
    </row>
    <row r="104" spans="1:36" s="35" customFormat="1" ht="16.5" customHeight="1" x14ac:dyDescent="0.25">
      <c r="A104" s="244">
        <v>12</v>
      </c>
      <c r="B104" s="244">
        <v>1961678</v>
      </c>
      <c r="C104" s="245" t="s">
        <v>737</v>
      </c>
      <c r="D104" s="235">
        <v>9500</v>
      </c>
      <c r="E104" s="246" t="e">
        <f>_xlfn.XLOOKUP(A104,COHVPI!#REF!,COHVPI!E:E)</f>
        <v>#REF!</v>
      </c>
      <c r="F104" s="246" t="e">
        <f>_xlfn.XLOOKUP(B104,COHVPI!A:A,COHVPI!F:F)</f>
        <v>#N/A</v>
      </c>
      <c r="G104" s="238">
        <v>460879</v>
      </c>
      <c r="H104" s="239" t="s">
        <v>649</v>
      </c>
      <c r="I104" s="172">
        <v>46161</v>
      </c>
      <c r="J104" s="241">
        <v>46161</v>
      </c>
      <c r="K104" s="241"/>
      <c r="L104" s="241"/>
      <c r="M104" s="241"/>
      <c r="N104" s="247" t="e">
        <f>_xlfn.XLOOKUP('Linhas Rápidas'!B104,COHVPI!A:A,COHVPI!I:I)</f>
        <v>#N/A</v>
      </c>
      <c r="O104" s="243" t="s">
        <v>827</v>
      </c>
      <c r="P104" s="260" t="s">
        <v>825</v>
      </c>
      <c r="R104" s="263"/>
      <c r="S104" s="266"/>
      <c r="T104" s="269"/>
      <c r="U104" s="272"/>
      <c r="V104" s="275"/>
      <c r="W104" s="278"/>
      <c r="X104" s="278"/>
      <c r="Y104" s="27"/>
      <c r="AD104" s="35" t="e">
        <f>VLOOKUP(B104,COHVPI!A:N,14,0)</f>
        <v>#N/A</v>
      </c>
      <c r="AE104" s="173" t="e">
        <f>VLOOKUP(B104,COHVPI!A:E,5,0)</f>
        <v>#N/A</v>
      </c>
      <c r="AF104" s="173" t="e">
        <f t="shared" si="4"/>
        <v>#N/A</v>
      </c>
      <c r="AH104" s="173"/>
      <c r="AJ104" s="173"/>
    </row>
    <row r="105" spans="1:36" ht="16.5" thickBot="1" x14ac:dyDescent="0.3">
      <c r="A105" s="89"/>
      <c r="B105" s="13"/>
      <c r="C105" s="60"/>
      <c r="D105" s="61"/>
      <c r="E105" s="61"/>
      <c r="F105" s="61"/>
      <c r="G105" s="61"/>
      <c r="H105" s="113"/>
      <c r="I105" s="63"/>
      <c r="J105" s="63"/>
      <c r="K105" s="63"/>
      <c r="L105" s="63"/>
      <c r="M105" s="63"/>
      <c r="N105" s="63"/>
      <c r="O105" s="157"/>
      <c r="P105" s="17"/>
      <c r="R105" s="64"/>
      <c r="S105" s="146"/>
      <c r="T105" s="62"/>
      <c r="U105" s="61"/>
      <c r="V105" s="65"/>
      <c r="W105" s="61"/>
      <c r="X105" s="65"/>
      <c r="Z105"/>
      <c r="AA105"/>
      <c r="AB105"/>
      <c r="AD105" t="e">
        <f>VLOOKUP(B105,COHVPI!A:N,14,0)</f>
        <v>#N/A</v>
      </c>
      <c r="AE105" s="95" t="e">
        <f>VLOOKUP(B105,COHVPI!A:E,5,0)</f>
        <v>#N/A</v>
      </c>
      <c r="AF105" s="95" t="e">
        <f t="shared" ref="AF105:AF109" si="5">AE105-D105</f>
        <v>#N/A</v>
      </c>
      <c r="AH105" s="67"/>
      <c r="AJ105" s="95"/>
    </row>
    <row r="106" spans="1:36" ht="15.75" customHeight="1" thickBot="1" x14ac:dyDescent="0.3">
      <c r="A106" s="6"/>
      <c r="B106" s="6"/>
      <c r="D106" s="6"/>
      <c r="E106" s="6"/>
      <c r="F106" s="6"/>
      <c r="H106"/>
      <c r="I106" s="19"/>
      <c r="J106"/>
      <c r="K106"/>
      <c r="L106"/>
      <c r="M106"/>
      <c r="N106" s="16"/>
      <c r="O106" s="158"/>
      <c r="P106" s="14"/>
      <c r="R106" s="14"/>
      <c r="S106" s="14"/>
      <c r="T106" s="8"/>
      <c r="U106" s="6"/>
      <c r="V106" s="6"/>
      <c r="W106" s="6"/>
      <c r="X106" s="6"/>
      <c r="Z106"/>
      <c r="AA106"/>
      <c r="AB106"/>
      <c r="AD106" t="e">
        <f>VLOOKUP(B106,COHVPI!A:N,14,0)</f>
        <v>#N/A</v>
      </c>
      <c r="AE106" s="95" t="e">
        <f>VLOOKUP(B106,COHVPI!A:E,5,0)</f>
        <v>#N/A</v>
      </c>
      <c r="AF106" s="95" t="e">
        <f t="shared" si="5"/>
        <v>#N/A</v>
      </c>
      <c r="AJ106" s="95"/>
    </row>
    <row r="107" spans="1:36" ht="27" customHeight="1" thickBot="1" x14ac:dyDescent="0.3">
      <c r="A107" s="317" t="s">
        <v>805</v>
      </c>
      <c r="B107" s="317"/>
      <c r="C107" s="317"/>
      <c r="D107" s="317"/>
      <c r="E107" s="317"/>
      <c r="F107" s="317"/>
      <c r="G107" s="317"/>
      <c r="H107" s="317"/>
      <c r="I107" s="317"/>
      <c r="J107" s="317"/>
      <c r="K107" s="317"/>
      <c r="L107" s="317"/>
      <c r="M107" s="317"/>
      <c r="N107" s="317"/>
      <c r="O107" s="317"/>
      <c r="P107" s="317"/>
      <c r="R107" s="321" t="s">
        <v>495</v>
      </c>
      <c r="S107" s="322"/>
      <c r="T107" s="322"/>
      <c r="U107" s="322"/>
      <c r="V107" s="322"/>
      <c r="W107" s="322"/>
      <c r="X107" s="322"/>
      <c r="Z107"/>
      <c r="AA107"/>
      <c r="AB107"/>
      <c r="AD107" t="e">
        <f>VLOOKUP(B107,COHVPI!A:N,14,0)</f>
        <v>#N/A</v>
      </c>
      <c r="AE107" s="95" t="e">
        <f>VLOOKUP(B107,COHVPI!A:E,5,0)</f>
        <v>#N/A</v>
      </c>
      <c r="AF107" s="95" t="e">
        <f t="shared" si="5"/>
        <v>#N/A</v>
      </c>
      <c r="AJ107" s="95"/>
    </row>
    <row r="108" spans="1:36" s="140" customFormat="1" ht="31.5" x14ac:dyDescent="0.25">
      <c r="A108" s="10" t="s">
        <v>489</v>
      </c>
      <c r="B108" s="10" t="s">
        <v>11</v>
      </c>
      <c r="C108" s="10" t="s">
        <v>3</v>
      </c>
      <c r="D108" s="11" t="s">
        <v>4</v>
      </c>
      <c r="E108" s="139" t="s">
        <v>778</v>
      </c>
      <c r="F108" s="139" t="s">
        <v>232</v>
      </c>
      <c r="G108" s="9" t="s">
        <v>2</v>
      </c>
      <c r="H108" s="9" t="s">
        <v>10</v>
      </c>
      <c r="I108" s="20" t="s">
        <v>507</v>
      </c>
      <c r="J108" s="20" t="s">
        <v>506</v>
      </c>
      <c r="K108" s="168" t="s">
        <v>515</v>
      </c>
      <c r="L108" s="168" t="s">
        <v>514</v>
      </c>
      <c r="M108" s="168" t="s">
        <v>513</v>
      </c>
      <c r="N108" s="109" t="s">
        <v>483</v>
      </c>
      <c r="O108" s="165" t="s">
        <v>5</v>
      </c>
      <c r="P108" s="142" t="s">
        <v>821</v>
      </c>
      <c r="Q108" s="166"/>
      <c r="R108" s="18" t="s">
        <v>12</v>
      </c>
      <c r="S108" s="110" t="s">
        <v>13</v>
      </c>
      <c r="T108" s="9" t="s">
        <v>11</v>
      </c>
      <c r="U108" s="141" t="s">
        <v>232</v>
      </c>
      <c r="V108" s="108" t="s">
        <v>484</v>
      </c>
      <c r="W108" s="11" t="s">
        <v>14</v>
      </c>
      <c r="X108" s="11" t="s">
        <v>265</v>
      </c>
      <c r="AD108" t="e">
        <f>VLOOKUP(B108,COHVPI!A:N,14,0)</f>
        <v>#N/A</v>
      </c>
      <c r="AE108" s="95" t="e">
        <f>VLOOKUP(B108,COHVPI!A:E,5,0)</f>
        <v>#N/A</v>
      </c>
      <c r="AF108" s="95" t="e">
        <f t="shared" si="5"/>
        <v>#N/A</v>
      </c>
      <c r="AJ108" s="149"/>
    </row>
    <row r="109" spans="1:36" s="35" customFormat="1" ht="16.5" customHeight="1" outlineLevel="1" x14ac:dyDescent="0.25">
      <c r="A109" s="233">
        <v>13</v>
      </c>
      <c r="B109" s="254">
        <v>1960920</v>
      </c>
      <c r="C109" s="255" t="s">
        <v>777</v>
      </c>
      <c r="D109" s="236">
        <v>9500</v>
      </c>
      <c r="E109" s="246">
        <f>_xlfn.XLOOKUP(B109,COHVPI!A:A,COHVPI!E:E,0,0,1)</f>
        <v>0</v>
      </c>
      <c r="F109" s="237" t="e">
        <f>_xlfn.XLOOKUP(B109,COHVPI!A:A,COHVPI!F:F)</f>
        <v>#N/A</v>
      </c>
      <c r="G109" s="238">
        <v>460888</v>
      </c>
      <c r="H109" s="239" t="s">
        <v>650</v>
      </c>
      <c r="I109" s="167">
        <v>46149</v>
      </c>
      <c r="J109" s="240">
        <v>46150</v>
      </c>
      <c r="K109" s="241"/>
      <c r="L109" s="241"/>
      <c r="M109" s="241"/>
      <c r="N109" s="242" t="e">
        <f>_xlfn.XLOOKUP('Linhas Rápidas'!B109,COHVPI!A:A,COHVPI!I:I)</f>
        <v>#N/A</v>
      </c>
      <c r="O109" s="243" t="s">
        <v>786</v>
      </c>
      <c r="P109" s="257" t="s">
        <v>820</v>
      </c>
      <c r="R109" s="288" t="s">
        <v>589</v>
      </c>
      <c r="S109" s="291" t="s">
        <v>590</v>
      </c>
      <c r="T109" s="294">
        <v>1961413</v>
      </c>
      <c r="U109" s="270">
        <f>_xlfn.XLOOKUP(T109,COHVPI!A:A,COHVPI!F:F)</f>
        <v>0</v>
      </c>
      <c r="V109" s="273">
        <f>_xlfn.XLOOKUP(T109,COHVPI!A:A,COHVPI!I:I)</f>
        <v>46149</v>
      </c>
      <c r="W109" s="276">
        <f>X109/24</f>
        <v>6684.166666666667</v>
      </c>
      <c r="X109" s="276">
        <f>40105*4</f>
        <v>160420</v>
      </c>
      <c r="Y109"/>
      <c r="Z109"/>
      <c r="AA109"/>
      <c r="AB109"/>
      <c r="AD109" t="e">
        <f>VLOOKUP(B109,COHVPI!A:N,14,0)</f>
        <v>#N/A</v>
      </c>
      <c r="AE109" s="95" t="e">
        <f>VLOOKUP(B109,COHVPI!A:E,5,0)</f>
        <v>#N/A</v>
      </c>
      <c r="AF109" s="95" t="e">
        <f t="shared" si="5"/>
        <v>#N/A</v>
      </c>
      <c r="AJ109" s="173"/>
    </row>
    <row r="110" spans="1:36" s="35" customFormat="1" ht="16.5" customHeight="1" outlineLevel="1" x14ac:dyDescent="0.25">
      <c r="A110" s="233">
        <v>13</v>
      </c>
      <c r="B110" s="254">
        <v>1960928</v>
      </c>
      <c r="C110" s="255" t="s">
        <v>774</v>
      </c>
      <c r="D110" s="236">
        <v>9500</v>
      </c>
      <c r="E110" s="246">
        <v>0</v>
      </c>
      <c r="F110" s="237" t="e">
        <v>#N/A</v>
      </c>
      <c r="G110" s="238">
        <v>460888</v>
      </c>
      <c r="H110" s="239" t="s">
        <v>650</v>
      </c>
      <c r="I110" s="167">
        <v>46150</v>
      </c>
      <c r="J110" s="240">
        <v>46150</v>
      </c>
      <c r="K110" s="241"/>
      <c r="L110" s="241"/>
      <c r="M110" s="241"/>
      <c r="N110" s="242"/>
      <c r="O110" s="243" t="s">
        <v>786</v>
      </c>
      <c r="P110" s="257" t="s">
        <v>820</v>
      </c>
      <c r="R110" s="289"/>
      <c r="S110" s="292"/>
      <c r="T110" s="295"/>
      <c r="U110" s="271"/>
      <c r="V110" s="274"/>
      <c r="W110" s="277"/>
      <c r="X110" s="277"/>
      <c r="Y110"/>
      <c r="Z110"/>
      <c r="AA110"/>
      <c r="AB110"/>
      <c r="AD110"/>
      <c r="AE110" s="95"/>
      <c r="AF110" s="95"/>
      <c r="AJ110" s="173"/>
    </row>
    <row r="111" spans="1:36" s="35" customFormat="1" ht="16.5" customHeight="1" outlineLevel="1" x14ac:dyDescent="0.25">
      <c r="A111" s="233">
        <v>13</v>
      </c>
      <c r="B111" s="254">
        <v>1960932</v>
      </c>
      <c r="C111" s="255" t="s">
        <v>775</v>
      </c>
      <c r="D111" s="236">
        <v>9500</v>
      </c>
      <c r="E111" s="246">
        <v>0</v>
      </c>
      <c r="F111" s="237" t="e">
        <v>#N/A</v>
      </c>
      <c r="G111" s="238">
        <v>460888</v>
      </c>
      <c r="H111" s="239" t="s">
        <v>650</v>
      </c>
      <c r="I111" s="167">
        <v>46150</v>
      </c>
      <c r="J111" s="240">
        <v>46150</v>
      </c>
      <c r="K111" s="241"/>
      <c r="L111" s="241"/>
      <c r="M111" s="241"/>
      <c r="N111" s="242"/>
      <c r="O111" s="243" t="s">
        <v>786</v>
      </c>
      <c r="P111" s="257" t="s">
        <v>820</v>
      </c>
      <c r="R111" s="289"/>
      <c r="S111" s="292"/>
      <c r="T111" s="295"/>
      <c r="U111" s="271"/>
      <c r="V111" s="274"/>
      <c r="W111" s="277"/>
      <c r="X111" s="277"/>
      <c r="Y111"/>
      <c r="Z111"/>
      <c r="AA111"/>
      <c r="AB111"/>
      <c r="AD111"/>
      <c r="AE111" s="95"/>
      <c r="AF111" s="95"/>
      <c r="AJ111" s="173"/>
    </row>
    <row r="112" spans="1:36" s="35" customFormat="1" ht="16.5" customHeight="1" outlineLevel="1" x14ac:dyDescent="0.25">
      <c r="A112" s="233">
        <v>13</v>
      </c>
      <c r="B112" s="234">
        <v>1960934</v>
      </c>
      <c r="C112" s="235" t="s">
        <v>776</v>
      </c>
      <c r="D112" s="236">
        <v>9500</v>
      </c>
      <c r="E112" s="246">
        <v>0</v>
      </c>
      <c r="F112" s="237" t="e">
        <v>#N/A</v>
      </c>
      <c r="G112" s="238">
        <v>460888</v>
      </c>
      <c r="H112" s="239" t="s">
        <v>650</v>
      </c>
      <c r="I112" s="167">
        <v>46150</v>
      </c>
      <c r="J112" s="240">
        <v>46151</v>
      </c>
      <c r="K112" s="241"/>
      <c r="L112" s="241"/>
      <c r="M112" s="241"/>
      <c r="N112" s="242" t="e">
        <f>_xlfn.XLOOKUP('Linhas Rápidas'!B112,COHVPI!A:A,COHVPI!I:I)</f>
        <v>#N/A</v>
      </c>
      <c r="O112" s="243" t="s">
        <v>786</v>
      </c>
      <c r="P112" s="257" t="s">
        <v>820</v>
      </c>
      <c r="R112" s="289"/>
      <c r="S112" s="292"/>
      <c r="T112" s="295"/>
      <c r="U112" s="271" t="e">
        <f>_xlfn.XLOOKUP(T112,COHVPI!A:A,COHVPI!F:F)</f>
        <v>#N/A</v>
      </c>
      <c r="V112" s="274"/>
      <c r="W112" s="277"/>
      <c r="X112" s="277"/>
      <c r="Y112"/>
      <c r="Z112"/>
      <c r="AA112"/>
      <c r="AB112"/>
      <c r="AD112" t="e">
        <f>VLOOKUP(B112,COHVPI!A:N,14,0)</f>
        <v>#N/A</v>
      </c>
      <c r="AE112" s="95" t="e">
        <f>VLOOKUP(B112,COHVPI!A:E,5,0)</f>
        <v>#N/A</v>
      </c>
      <c r="AF112" s="95" t="e">
        <f>AE112-D112</f>
        <v>#N/A</v>
      </c>
      <c r="AJ112" s="173"/>
    </row>
    <row r="113" spans="1:36" s="27" customFormat="1" ht="16.5" customHeight="1" outlineLevel="1" x14ac:dyDescent="0.25">
      <c r="A113" s="233">
        <v>13</v>
      </c>
      <c r="B113" s="234">
        <v>1961888</v>
      </c>
      <c r="C113" s="235" t="s">
        <v>781</v>
      </c>
      <c r="D113" s="236">
        <v>9500</v>
      </c>
      <c r="E113" s="246">
        <v>0</v>
      </c>
      <c r="F113" s="237" t="e">
        <v>#N/A</v>
      </c>
      <c r="G113" s="238">
        <v>460888</v>
      </c>
      <c r="H113" s="239" t="s">
        <v>650</v>
      </c>
      <c r="I113" s="167">
        <v>46151</v>
      </c>
      <c r="J113" s="240">
        <v>46151</v>
      </c>
      <c r="K113" s="241"/>
      <c r="L113" s="241"/>
      <c r="M113" s="241"/>
      <c r="N113" s="242" t="e">
        <f>_xlfn.XLOOKUP('Linhas Rápidas'!B113,COHVPI!A:A,COHVPI!I:I)</f>
        <v>#N/A</v>
      </c>
      <c r="O113" s="243" t="s">
        <v>786</v>
      </c>
      <c r="P113" s="257" t="s">
        <v>820</v>
      </c>
      <c r="R113" s="288" t="s">
        <v>589</v>
      </c>
      <c r="S113" s="291" t="s">
        <v>590</v>
      </c>
      <c r="T113" s="294">
        <v>1961416</v>
      </c>
      <c r="U113" s="270">
        <f>_xlfn.XLOOKUP(T113,COHVPI!A:A,COHVPI!F:F)</f>
        <v>0</v>
      </c>
      <c r="V113" s="273">
        <f>_xlfn.XLOOKUP(T113,COHVPI!A:A,COHVPI!I:I)</f>
        <v>46151</v>
      </c>
      <c r="W113" s="276">
        <f>X113/24</f>
        <v>5013.125</v>
      </c>
      <c r="X113" s="276">
        <f>40105*3</f>
        <v>120315</v>
      </c>
      <c r="AD113" s="27" t="e">
        <f>VLOOKUP(B113,COHVPI!A:N,14,0)</f>
        <v>#N/A</v>
      </c>
      <c r="AE113" s="67" t="e">
        <f>VLOOKUP(B113,COHVPI!A:E,5,0)</f>
        <v>#N/A</v>
      </c>
      <c r="AF113" s="67" t="e">
        <f>AE113-D113</f>
        <v>#N/A</v>
      </c>
      <c r="AJ113" s="67"/>
    </row>
    <row r="114" spans="1:36" s="27" customFormat="1" ht="16.5" customHeight="1" outlineLevel="1" x14ac:dyDescent="0.25">
      <c r="A114" s="233">
        <v>13</v>
      </c>
      <c r="B114" s="234">
        <v>1961889</v>
      </c>
      <c r="C114" s="235" t="s">
        <v>782</v>
      </c>
      <c r="D114" s="236">
        <v>9500</v>
      </c>
      <c r="E114" s="246">
        <v>0</v>
      </c>
      <c r="F114" s="237" t="e">
        <v>#N/A</v>
      </c>
      <c r="G114" s="238">
        <v>460888</v>
      </c>
      <c r="H114" s="239" t="s">
        <v>650</v>
      </c>
      <c r="I114" s="167">
        <v>46151</v>
      </c>
      <c r="J114" s="240">
        <v>46151</v>
      </c>
      <c r="K114" s="241"/>
      <c r="L114" s="241"/>
      <c r="M114" s="241"/>
      <c r="N114" s="242"/>
      <c r="O114" s="243" t="s">
        <v>786</v>
      </c>
      <c r="P114" s="257" t="s">
        <v>820</v>
      </c>
      <c r="R114" s="289"/>
      <c r="S114" s="292"/>
      <c r="T114" s="295"/>
      <c r="U114" s="271"/>
      <c r="V114" s="274"/>
      <c r="W114" s="277"/>
      <c r="X114" s="277"/>
      <c r="AE114" s="67"/>
      <c r="AF114" s="67"/>
      <c r="AJ114" s="67"/>
    </row>
    <row r="115" spans="1:36" s="27" customFormat="1" ht="16.5" customHeight="1" outlineLevel="1" x14ac:dyDescent="0.25">
      <c r="A115" s="233">
        <v>13</v>
      </c>
      <c r="B115" s="234">
        <v>1961890</v>
      </c>
      <c r="C115" s="235" t="s">
        <v>783</v>
      </c>
      <c r="D115" s="236">
        <v>9500</v>
      </c>
      <c r="E115" s="246">
        <v>0</v>
      </c>
      <c r="F115" s="237" t="e">
        <v>#N/A</v>
      </c>
      <c r="G115" s="238">
        <v>460888</v>
      </c>
      <c r="H115" s="239" t="s">
        <v>650</v>
      </c>
      <c r="I115" s="167">
        <v>46151</v>
      </c>
      <c r="J115" s="240">
        <v>46153</v>
      </c>
      <c r="K115" s="241"/>
      <c r="L115" s="241"/>
      <c r="M115" s="241"/>
      <c r="N115" s="242"/>
      <c r="O115" s="243" t="s">
        <v>786</v>
      </c>
      <c r="P115" s="257" t="s">
        <v>820</v>
      </c>
      <c r="R115" s="289"/>
      <c r="S115" s="292"/>
      <c r="T115" s="295"/>
      <c r="U115" s="271"/>
      <c r="V115" s="274"/>
      <c r="W115" s="277"/>
      <c r="X115" s="277"/>
      <c r="AE115" s="67"/>
      <c r="AF115" s="67"/>
      <c r="AJ115" s="67"/>
    </row>
    <row r="116" spans="1:36" s="27" customFormat="1" ht="16.5" customHeight="1" x14ac:dyDescent="0.25">
      <c r="A116" s="91"/>
      <c r="B116" s="91"/>
      <c r="C116" s="92"/>
      <c r="D116" s="100"/>
      <c r="E116" s="100"/>
      <c r="F116" s="100"/>
      <c r="G116" s="93"/>
      <c r="H116" s="112" t="s">
        <v>780</v>
      </c>
      <c r="I116" s="94"/>
      <c r="J116" s="94"/>
      <c r="K116" s="94"/>
      <c r="L116" s="94"/>
      <c r="M116" s="94"/>
      <c r="N116" s="101"/>
      <c r="O116" s="177"/>
      <c r="P116" s="94"/>
      <c r="Q116"/>
      <c r="R116" s="282" t="s">
        <v>780</v>
      </c>
      <c r="S116" s="283"/>
      <c r="T116" s="283"/>
      <c r="U116" s="283"/>
      <c r="V116" s="283"/>
      <c r="W116" s="283"/>
      <c r="X116" s="283"/>
      <c r="Y116"/>
      <c r="Z116"/>
      <c r="AA116"/>
      <c r="AB116"/>
      <c r="AD116" t="e">
        <f>VLOOKUP(B116,COHVPI!A:N,14,0)</f>
        <v>#N/A</v>
      </c>
      <c r="AE116" s="95" t="e">
        <f>VLOOKUP(B116,COHVPI!A:E,5,0)</f>
        <v>#N/A</v>
      </c>
      <c r="AF116" s="95" t="e">
        <f t="shared" ref="AF116:AF132" si="6">AE116-D116</f>
        <v>#N/A</v>
      </c>
      <c r="AG116"/>
      <c r="AH116" s="67"/>
      <c r="AI116"/>
      <c r="AJ116" s="95"/>
    </row>
    <row r="117" spans="1:36" s="35" customFormat="1" ht="16.5" customHeight="1" outlineLevel="1" x14ac:dyDescent="0.25">
      <c r="A117" s="98">
        <v>13</v>
      </c>
      <c r="B117" s="150">
        <v>1961578</v>
      </c>
      <c r="C117" s="26" t="s">
        <v>738</v>
      </c>
      <c r="D117" s="104">
        <v>10000</v>
      </c>
      <c r="E117" s="77">
        <f>_xlfn.XLOOKUP(B117,COHVPI!A:A,COHVPI!E:E,0,0,1)</f>
        <v>0</v>
      </c>
      <c r="F117" s="90" t="e">
        <f>_xlfn.XLOOKUP(B117,COHVPI!A:A,COHVPI!F:F)</f>
        <v>#N/A</v>
      </c>
      <c r="G117" s="74">
        <v>469295</v>
      </c>
      <c r="H117" s="111" t="s">
        <v>521</v>
      </c>
      <c r="I117" s="167">
        <v>46153</v>
      </c>
      <c r="J117" s="122">
        <v>46153</v>
      </c>
      <c r="K117" s="72"/>
      <c r="L117" s="72"/>
      <c r="M117" s="72"/>
      <c r="N117" s="106" t="e">
        <f>_xlfn.XLOOKUP('Linhas Rápidas'!B117,COHVPI!A:A,COHVPI!I:I)</f>
        <v>#N/A</v>
      </c>
      <c r="O117" s="176" t="s">
        <v>21</v>
      </c>
      <c r="P117" s="257" t="s">
        <v>820</v>
      </c>
      <c r="R117" s="288" t="s">
        <v>591</v>
      </c>
      <c r="S117" s="291" t="s">
        <v>592</v>
      </c>
      <c r="T117" s="294">
        <v>1961419</v>
      </c>
      <c r="U117" s="270">
        <f>_xlfn.XLOOKUP(T117,COHVPI!A:A,COHVPI!F:F)</f>
        <v>0</v>
      </c>
      <c r="V117" s="273">
        <f>_xlfn.XLOOKUP(T117,COHVPI!A:A,COHVPI!I:I)</f>
        <v>46153</v>
      </c>
      <c r="W117" s="276">
        <f>X117/24</f>
        <v>7996</v>
      </c>
      <c r="X117" s="276">
        <f>47976*4</f>
        <v>191904</v>
      </c>
      <c r="Z117"/>
      <c r="AA117"/>
      <c r="AB117"/>
      <c r="AD117" t="e">
        <f>VLOOKUP(B117,COHVPI!A:N,14,0)</f>
        <v>#N/A</v>
      </c>
      <c r="AE117" s="95" t="e">
        <f>VLOOKUP(B117,COHVPI!A:E,5,0)</f>
        <v>#N/A</v>
      </c>
      <c r="AF117" s="95" t="e">
        <f t="shared" si="6"/>
        <v>#N/A</v>
      </c>
      <c r="AJ117" s="173"/>
    </row>
    <row r="118" spans="1:36" s="35" customFormat="1" ht="16.5" customHeight="1" outlineLevel="1" x14ac:dyDescent="0.25">
      <c r="A118" s="98">
        <v>13</v>
      </c>
      <c r="B118" s="150">
        <v>1961579</v>
      </c>
      <c r="C118" s="26" t="s">
        <v>739</v>
      </c>
      <c r="D118" s="104">
        <v>10000</v>
      </c>
      <c r="E118" s="77">
        <f>_xlfn.XLOOKUP(B118,COHVPI!A:A,COHVPI!E:E,0,0,1)</f>
        <v>0</v>
      </c>
      <c r="F118" s="90" t="e">
        <f>_xlfn.XLOOKUP(B118,COHVPI!A:A,COHVPI!F:F)</f>
        <v>#N/A</v>
      </c>
      <c r="G118" s="74">
        <v>469295</v>
      </c>
      <c r="H118" s="111" t="s">
        <v>521</v>
      </c>
      <c r="I118" s="167">
        <v>46153</v>
      </c>
      <c r="J118" s="122">
        <v>46153</v>
      </c>
      <c r="K118" s="72"/>
      <c r="L118" s="72"/>
      <c r="M118" s="72"/>
      <c r="N118" s="106" t="e">
        <f>_xlfn.XLOOKUP('Linhas Rápidas'!B118,COHVPI!A:A,COHVPI!I:I)</f>
        <v>#N/A</v>
      </c>
      <c r="O118" s="176" t="s">
        <v>21</v>
      </c>
      <c r="P118" s="257" t="s">
        <v>820</v>
      </c>
      <c r="R118" s="289"/>
      <c r="S118" s="292"/>
      <c r="T118" s="295"/>
      <c r="U118" s="271"/>
      <c r="V118" s="274"/>
      <c r="W118" s="277"/>
      <c r="X118" s="277"/>
      <c r="Z118"/>
      <c r="AA118"/>
      <c r="AB118"/>
      <c r="AD118" t="e">
        <f>VLOOKUP(B118,COHVPI!A:N,14,0)</f>
        <v>#N/A</v>
      </c>
      <c r="AE118" s="95" t="e">
        <f>VLOOKUP(B118,COHVPI!A:E,5,0)</f>
        <v>#N/A</v>
      </c>
      <c r="AF118" s="95" t="e">
        <f t="shared" si="6"/>
        <v>#N/A</v>
      </c>
      <c r="AJ118" s="173"/>
    </row>
    <row r="119" spans="1:36" s="35" customFormat="1" ht="16.5" customHeight="1" outlineLevel="1" x14ac:dyDescent="0.25">
      <c r="A119" s="98">
        <v>13</v>
      </c>
      <c r="B119" s="150">
        <v>1961580</v>
      </c>
      <c r="C119" s="26" t="s">
        <v>740</v>
      </c>
      <c r="D119" s="104">
        <v>10000</v>
      </c>
      <c r="E119" s="77">
        <f>_xlfn.XLOOKUP(B119,COHVPI!A:A,COHVPI!E:E,0,0,1)</f>
        <v>0</v>
      </c>
      <c r="F119" s="90" t="e">
        <f>_xlfn.XLOOKUP(B119,COHVPI!A:A,COHVPI!F:F)</f>
        <v>#N/A</v>
      </c>
      <c r="G119" s="74">
        <v>469295</v>
      </c>
      <c r="H119" s="111" t="s">
        <v>521</v>
      </c>
      <c r="I119" s="167">
        <v>46153</v>
      </c>
      <c r="J119" s="122">
        <v>46154</v>
      </c>
      <c r="K119" s="72"/>
      <c r="L119" s="72"/>
      <c r="M119" s="72"/>
      <c r="N119" s="106" t="e">
        <f>_xlfn.XLOOKUP('Linhas Rápidas'!B119,COHVPI!A:A,COHVPI!I:I)</f>
        <v>#N/A</v>
      </c>
      <c r="O119" s="176" t="s">
        <v>21</v>
      </c>
      <c r="P119" s="257" t="s">
        <v>820</v>
      </c>
      <c r="R119" s="289"/>
      <c r="S119" s="292"/>
      <c r="T119" s="295"/>
      <c r="U119" s="271" t="e">
        <f>_xlfn.XLOOKUP(T119,COHVPI!A:A,COHVPI!F:F)</f>
        <v>#N/A</v>
      </c>
      <c r="V119" s="274"/>
      <c r="W119" s="277"/>
      <c r="X119" s="277"/>
      <c r="Z119"/>
      <c r="AA119"/>
      <c r="AB119"/>
      <c r="AD119" t="e">
        <f>VLOOKUP(B119,COHVPI!A:N,14,0)</f>
        <v>#N/A</v>
      </c>
      <c r="AE119" s="95" t="e">
        <f>VLOOKUP(B119,COHVPI!A:E,5,0)</f>
        <v>#N/A</v>
      </c>
      <c r="AF119" s="95" t="e">
        <f t="shared" si="6"/>
        <v>#N/A</v>
      </c>
      <c r="AJ119" s="173"/>
    </row>
    <row r="120" spans="1:36" s="35" customFormat="1" ht="16.5" customHeight="1" outlineLevel="1" x14ac:dyDescent="0.25">
      <c r="A120" s="98">
        <v>13</v>
      </c>
      <c r="B120" s="150">
        <v>1961581</v>
      </c>
      <c r="C120" s="26" t="s">
        <v>741</v>
      </c>
      <c r="D120" s="104">
        <v>10000</v>
      </c>
      <c r="E120" s="77">
        <f>_xlfn.XLOOKUP(B120,COHVPI!A:A,COHVPI!E:E,0,0,1)</f>
        <v>0</v>
      </c>
      <c r="F120" s="90" t="e">
        <f>_xlfn.XLOOKUP(B120,COHVPI!A:A,COHVPI!F:F)</f>
        <v>#N/A</v>
      </c>
      <c r="G120" s="74">
        <v>469295</v>
      </c>
      <c r="H120" s="111" t="s">
        <v>521</v>
      </c>
      <c r="I120" s="167">
        <v>46154</v>
      </c>
      <c r="J120" s="122">
        <v>46154</v>
      </c>
      <c r="K120" s="72"/>
      <c r="L120" s="72"/>
      <c r="M120" s="72"/>
      <c r="N120" s="106" t="e">
        <f>_xlfn.XLOOKUP('Linhas Rápidas'!B120,COHVPI!A:A,COHVPI!I:I)</f>
        <v>#N/A</v>
      </c>
      <c r="O120" s="176" t="s">
        <v>21</v>
      </c>
      <c r="P120" s="257" t="s">
        <v>820</v>
      </c>
      <c r="R120" s="290"/>
      <c r="S120" s="293"/>
      <c r="T120" s="296"/>
      <c r="U120" s="272"/>
      <c r="V120" s="275"/>
      <c r="W120" s="278"/>
      <c r="X120" s="278"/>
      <c r="Z120"/>
      <c r="AA120"/>
      <c r="AB120"/>
      <c r="AD120" t="e">
        <f>VLOOKUP(B120,COHVPI!A:N,14,0)</f>
        <v>#N/A</v>
      </c>
      <c r="AE120" s="95" t="e">
        <f>VLOOKUP(B120,COHVPI!A:E,5,0)</f>
        <v>#N/A</v>
      </c>
      <c r="AF120" s="95" t="e">
        <f t="shared" si="6"/>
        <v>#N/A</v>
      </c>
      <c r="AJ120" s="173"/>
    </row>
    <row r="121" spans="1:36" s="35" customFormat="1" ht="16.5" customHeight="1" outlineLevel="1" x14ac:dyDescent="0.25">
      <c r="A121" s="98">
        <v>13</v>
      </c>
      <c r="B121" s="150">
        <v>1961582</v>
      </c>
      <c r="C121" s="26" t="s">
        <v>742</v>
      </c>
      <c r="D121" s="104">
        <v>10000</v>
      </c>
      <c r="E121" s="77">
        <f>_xlfn.XLOOKUP(B121,COHVPI!A:A,COHVPI!E:E,0,0,1)</f>
        <v>0</v>
      </c>
      <c r="F121" s="90" t="e">
        <f>_xlfn.XLOOKUP(B121,COHVPI!A:A,COHVPI!F:F)</f>
        <v>#N/A</v>
      </c>
      <c r="G121" s="74">
        <v>469295</v>
      </c>
      <c r="H121" s="111" t="s">
        <v>521</v>
      </c>
      <c r="I121" s="167">
        <v>46154</v>
      </c>
      <c r="J121" s="122">
        <v>46155</v>
      </c>
      <c r="K121" s="72"/>
      <c r="L121" s="72"/>
      <c r="M121" s="72"/>
      <c r="N121" s="106" t="e">
        <f>_xlfn.XLOOKUP('Linhas Rápidas'!B121,COHVPI!A:A,COHVPI!I:I)</f>
        <v>#N/A</v>
      </c>
      <c r="O121" s="176" t="s">
        <v>21</v>
      </c>
      <c r="P121" s="257" t="s">
        <v>820</v>
      </c>
      <c r="R121" s="288" t="s">
        <v>591</v>
      </c>
      <c r="S121" s="291" t="s">
        <v>592</v>
      </c>
      <c r="T121" s="294">
        <v>1961422</v>
      </c>
      <c r="U121" s="270">
        <f>_xlfn.XLOOKUP(T121,COHVPI!A:A,COHVPI!F:F)</f>
        <v>0</v>
      </c>
      <c r="V121" s="273">
        <f>_xlfn.XLOOKUP(T121,COHVPI!A:A,COHVPI!I:I)</f>
        <v>46154</v>
      </c>
      <c r="W121" s="276">
        <f>X121/24</f>
        <v>7996</v>
      </c>
      <c r="X121" s="276">
        <f>47976*4</f>
        <v>191904</v>
      </c>
      <c r="Z121"/>
      <c r="AA121"/>
      <c r="AB121"/>
      <c r="AD121" t="e">
        <f>VLOOKUP(B121,COHVPI!A:N,14,0)</f>
        <v>#N/A</v>
      </c>
      <c r="AE121" s="95" t="e">
        <f>VLOOKUP(B121,COHVPI!A:E,5,0)</f>
        <v>#N/A</v>
      </c>
      <c r="AF121" s="95" t="e">
        <f t="shared" si="6"/>
        <v>#N/A</v>
      </c>
      <c r="AJ121" s="173"/>
    </row>
    <row r="122" spans="1:36" s="35" customFormat="1" ht="16.5" customHeight="1" outlineLevel="1" x14ac:dyDescent="0.25">
      <c r="A122" s="98">
        <v>13</v>
      </c>
      <c r="B122" s="150">
        <v>1961583</v>
      </c>
      <c r="C122" s="26" t="s">
        <v>743</v>
      </c>
      <c r="D122" s="104">
        <v>10000</v>
      </c>
      <c r="E122" s="77">
        <f>_xlfn.XLOOKUP(B122,COHVPI!A:A,COHVPI!E:E,0,0,1)</f>
        <v>0</v>
      </c>
      <c r="F122" s="90" t="e">
        <f>_xlfn.XLOOKUP(B122,COHVPI!A:A,COHVPI!F:F)</f>
        <v>#N/A</v>
      </c>
      <c r="G122" s="74">
        <v>469295</v>
      </c>
      <c r="H122" s="111" t="s">
        <v>521</v>
      </c>
      <c r="I122" s="167">
        <v>46155</v>
      </c>
      <c r="J122" s="122">
        <v>46155</v>
      </c>
      <c r="K122" s="72"/>
      <c r="L122" s="72"/>
      <c r="M122" s="72"/>
      <c r="N122" s="106" t="e">
        <f>_xlfn.XLOOKUP('Linhas Rápidas'!B122,COHVPI!A:A,COHVPI!I:I)</f>
        <v>#N/A</v>
      </c>
      <c r="O122" s="176" t="s">
        <v>21</v>
      </c>
      <c r="P122" s="257" t="s">
        <v>820</v>
      </c>
      <c r="R122" s="289"/>
      <c r="S122" s="292"/>
      <c r="T122" s="295"/>
      <c r="U122" s="271"/>
      <c r="V122" s="274"/>
      <c r="W122" s="277"/>
      <c r="X122" s="277"/>
      <c r="Z122"/>
      <c r="AA122"/>
      <c r="AB122"/>
      <c r="AD122" t="e">
        <f>VLOOKUP(B122,COHVPI!A:N,14,0)</f>
        <v>#N/A</v>
      </c>
      <c r="AE122" s="95" t="e">
        <f>VLOOKUP(B122,COHVPI!A:E,5,0)</f>
        <v>#N/A</v>
      </c>
      <c r="AF122" s="95" t="e">
        <f t="shared" si="6"/>
        <v>#N/A</v>
      </c>
      <c r="AJ122" s="173"/>
    </row>
    <row r="123" spans="1:36" s="35" customFormat="1" ht="16.5" customHeight="1" outlineLevel="1" x14ac:dyDescent="0.25">
      <c r="A123" s="98">
        <v>13</v>
      </c>
      <c r="B123" s="150">
        <v>1961584</v>
      </c>
      <c r="C123" s="26" t="s">
        <v>744</v>
      </c>
      <c r="D123" s="104">
        <v>10000</v>
      </c>
      <c r="E123" s="77">
        <f>_xlfn.XLOOKUP(B123,COHVPI!A:A,COHVPI!E:E,0,0,1)</f>
        <v>0</v>
      </c>
      <c r="F123" s="90" t="e">
        <f>_xlfn.XLOOKUP(B123,COHVPI!A:A,COHVPI!F:F)</f>
        <v>#N/A</v>
      </c>
      <c r="G123" s="74">
        <v>469295</v>
      </c>
      <c r="H123" s="111" t="s">
        <v>521</v>
      </c>
      <c r="I123" s="167">
        <v>46155</v>
      </c>
      <c r="J123" s="122">
        <v>46155</v>
      </c>
      <c r="K123" s="72"/>
      <c r="L123" s="72"/>
      <c r="M123" s="72"/>
      <c r="N123" s="106" t="e">
        <f>_xlfn.XLOOKUP('Linhas Rápidas'!B123,COHVPI!A:A,COHVPI!I:I)</f>
        <v>#N/A</v>
      </c>
      <c r="O123" s="176" t="s">
        <v>21</v>
      </c>
      <c r="P123" s="257" t="s">
        <v>820</v>
      </c>
      <c r="R123" s="289"/>
      <c r="S123" s="292"/>
      <c r="T123" s="295"/>
      <c r="U123" s="271" t="e">
        <f>_xlfn.XLOOKUP(T123,COHVPI!A:A,COHVPI!F:F)</f>
        <v>#N/A</v>
      </c>
      <c r="V123" s="274"/>
      <c r="W123" s="277"/>
      <c r="X123" s="277"/>
      <c r="Z123"/>
      <c r="AA123"/>
      <c r="AB123"/>
      <c r="AD123" t="e">
        <f>VLOOKUP(B123,COHVPI!A:N,14,0)</f>
        <v>#N/A</v>
      </c>
      <c r="AE123" s="95" t="e">
        <f>VLOOKUP(B123,COHVPI!A:E,5,0)</f>
        <v>#N/A</v>
      </c>
      <c r="AF123" s="95" t="e">
        <f t="shared" si="6"/>
        <v>#N/A</v>
      </c>
      <c r="AJ123" s="173"/>
    </row>
    <row r="124" spans="1:36" s="35" customFormat="1" ht="16.5" customHeight="1" outlineLevel="1" x14ac:dyDescent="0.25">
      <c r="A124" s="174">
        <v>13</v>
      </c>
      <c r="B124" s="231"/>
      <c r="C124" s="131"/>
      <c r="D124" s="223">
        <v>10000</v>
      </c>
      <c r="E124" s="224">
        <f>_xlfn.XLOOKUP(B124,COHVPI!A:A,COHVPI!E:E,0,0,1)</f>
        <v>0</v>
      </c>
      <c r="F124" s="130" t="e">
        <f>_xlfn.XLOOKUP(B124,COHVPI!A:A,COHVPI!F:F)</f>
        <v>#N/A</v>
      </c>
      <c r="G124" s="221">
        <v>469295</v>
      </c>
      <c r="H124" s="175" t="s">
        <v>521</v>
      </c>
      <c r="I124" s="167">
        <v>46155</v>
      </c>
      <c r="J124" s="132">
        <v>46156</v>
      </c>
      <c r="K124" s="134"/>
      <c r="L124" s="134"/>
      <c r="M124" s="134"/>
      <c r="N124" s="135" t="e">
        <f>_xlfn.XLOOKUP('Linhas Rápidas'!B124,COHVPI!A:A,COHVPI!I:I)</f>
        <v>#N/A</v>
      </c>
      <c r="O124" s="222" t="s">
        <v>791</v>
      </c>
      <c r="P124" s="257" t="s">
        <v>820</v>
      </c>
      <c r="R124" s="290"/>
      <c r="S124" s="293"/>
      <c r="T124" s="296"/>
      <c r="U124" s="272"/>
      <c r="V124" s="275"/>
      <c r="W124" s="278"/>
      <c r="X124" s="278"/>
      <c r="Z124" s="231">
        <v>1961585</v>
      </c>
      <c r="AA124" s="131" t="s">
        <v>745</v>
      </c>
      <c r="AB124"/>
      <c r="AD124" t="e">
        <f>VLOOKUP(B124,COHVPI!A:N,14,0)</f>
        <v>#N/A</v>
      </c>
      <c r="AE124" s="95" t="e">
        <f>VLOOKUP(B124,COHVPI!A:E,5,0)</f>
        <v>#N/A</v>
      </c>
      <c r="AF124" s="95" t="e">
        <f t="shared" si="6"/>
        <v>#N/A</v>
      </c>
      <c r="AJ124" s="173"/>
    </row>
    <row r="125" spans="1:36" s="35" customFormat="1" ht="16.5" customHeight="1" outlineLevel="1" x14ac:dyDescent="0.25">
      <c r="A125" s="98">
        <v>13</v>
      </c>
      <c r="B125" s="150">
        <v>1961589</v>
      </c>
      <c r="C125" s="26" t="s">
        <v>746</v>
      </c>
      <c r="D125" s="104">
        <v>10000</v>
      </c>
      <c r="E125" s="90" t="e">
        <f>_xlfn.XLOOKUP(A125,COHVPI!#REF!,COHVPI!E:E)</f>
        <v>#REF!</v>
      </c>
      <c r="F125" s="90" t="e">
        <f>_xlfn.XLOOKUP(B125,COHVPI!A:A,COHVPI!F:F)</f>
        <v>#N/A</v>
      </c>
      <c r="G125" s="74">
        <v>469296</v>
      </c>
      <c r="H125" s="111" t="s">
        <v>651</v>
      </c>
      <c r="I125" s="167">
        <v>46156</v>
      </c>
      <c r="J125" s="122">
        <v>46156</v>
      </c>
      <c r="K125" s="72"/>
      <c r="L125" s="72"/>
      <c r="M125" s="72"/>
      <c r="N125" s="106" t="e">
        <f>_xlfn.XLOOKUP('Linhas Rápidas'!B125,COHVPI!A:A,COHVPI!I:I)</f>
        <v>#N/A</v>
      </c>
      <c r="O125" s="176" t="s">
        <v>21</v>
      </c>
      <c r="P125" s="257" t="s">
        <v>823</v>
      </c>
      <c r="R125" s="288" t="s">
        <v>593</v>
      </c>
      <c r="S125" s="291" t="s">
        <v>594</v>
      </c>
      <c r="T125" s="294">
        <v>1961429</v>
      </c>
      <c r="U125" s="270">
        <f>_xlfn.XLOOKUP(T125,COHVPI!A:A,COHVPI!F:F)</f>
        <v>0</v>
      </c>
      <c r="V125" s="273">
        <f>_xlfn.XLOOKUP(T125,COHVPI!A:A,COHVPI!I:I)</f>
        <v>46156</v>
      </c>
      <c r="W125" s="276">
        <f>X125/24</f>
        <v>7996</v>
      </c>
      <c r="X125" s="276">
        <f>47976*4</f>
        <v>191904</v>
      </c>
      <c r="Z125"/>
      <c r="AA125"/>
      <c r="AB125"/>
      <c r="AD125" t="e">
        <f>VLOOKUP(B125,COHVPI!A:N,14,0)</f>
        <v>#N/A</v>
      </c>
      <c r="AE125" s="95" t="e">
        <f>VLOOKUP(B125,COHVPI!A:E,5,0)</f>
        <v>#N/A</v>
      </c>
      <c r="AF125" s="95" t="e">
        <f t="shared" si="6"/>
        <v>#N/A</v>
      </c>
      <c r="AJ125" s="173"/>
    </row>
    <row r="126" spans="1:36" s="35" customFormat="1" ht="16.5" customHeight="1" outlineLevel="1" x14ac:dyDescent="0.25">
      <c r="A126" s="98">
        <v>13</v>
      </c>
      <c r="B126" s="150">
        <v>1961590</v>
      </c>
      <c r="C126" s="26" t="s">
        <v>747</v>
      </c>
      <c r="D126" s="104">
        <v>10000</v>
      </c>
      <c r="E126" s="90" t="e">
        <f>_xlfn.XLOOKUP(A126,COHVPI!#REF!,COHVPI!E:E)</f>
        <v>#REF!</v>
      </c>
      <c r="F126" s="90" t="e">
        <f>_xlfn.XLOOKUP(B126,COHVPI!A:A,COHVPI!F:F)</f>
        <v>#N/A</v>
      </c>
      <c r="G126" s="74">
        <v>469296</v>
      </c>
      <c r="H126" s="111" t="s">
        <v>651</v>
      </c>
      <c r="I126" s="167">
        <v>46157</v>
      </c>
      <c r="J126" s="122">
        <v>46157</v>
      </c>
      <c r="K126" s="72"/>
      <c r="L126" s="72"/>
      <c r="M126" s="72"/>
      <c r="N126" s="106" t="e">
        <f>_xlfn.XLOOKUP('Linhas Rápidas'!B126,COHVPI!A:A,COHVPI!I:I)</f>
        <v>#N/A</v>
      </c>
      <c r="O126" s="176" t="s">
        <v>21</v>
      </c>
      <c r="P126" s="257" t="s">
        <v>823</v>
      </c>
      <c r="R126" s="289"/>
      <c r="S126" s="292"/>
      <c r="T126" s="295"/>
      <c r="U126" s="271"/>
      <c r="V126" s="274"/>
      <c r="W126" s="277"/>
      <c r="X126" s="277"/>
      <c r="Z126"/>
      <c r="AA126"/>
      <c r="AB126"/>
      <c r="AD126" t="e">
        <f>VLOOKUP(B126,COHVPI!A:N,14,0)</f>
        <v>#N/A</v>
      </c>
      <c r="AE126" s="95" t="e">
        <f>VLOOKUP(B126,COHVPI!A:E,5,0)</f>
        <v>#N/A</v>
      </c>
      <c r="AF126" s="95" t="e">
        <f t="shared" si="6"/>
        <v>#N/A</v>
      </c>
      <c r="AJ126" s="173"/>
    </row>
    <row r="127" spans="1:36" s="35" customFormat="1" ht="16.5" customHeight="1" outlineLevel="1" x14ac:dyDescent="0.25">
      <c r="A127" s="98">
        <v>13</v>
      </c>
      <c r="B127" s="150">
        <v>1961591</v>
      </c>
      <c r="C127" s="26" t="s">
        <v>748</v>
      </c>
      <c r="D127" s="104">
        <v>10000</v>
      </c>
      <c r="E127" s="90" t="e">
        <f>_xlfn.XLOOKUP(A127,COHVPI!#REF!,COHVPI!E:E)</f>
        <v>#REF!</v>
      </c>
      <c r="F127" s="90" t="e">
        <f>_xlfn.XLOOKUP(B127,COHVPI!A:A,COHVPI!F:F)</f>
        <v>#N/A</v>
      </c>
      <c r="G127" s="74">
        <v>469296</v>
      </c>
      <c r="H127" s="111" t="s">
        <v>651</v>
      </c>
      <c r="I127" s="167">
        <v>46157</v>
      </c>
      <c r="J127" s="122">
        <v>46157</v>
      </c>
      <c r="K127" s="72"/>
      <c r="L127" s="72"/>
      <c r="M127" s="72"/>
      <c r="N127" s="106" t="e">
        <f>_xlfn.XLOOKUP('Linhas Rápidas'!B127,COHVPI!A:A,COHVPI!I:I)</f>
        <v>#N/A</v>
      </c>
      <c r="O127" s="176" t="s">
        <v>21</v>
      </c>
      <c r="P127" s="257" t="s">
        <v>823</v>
      </c>
      <c r="R127" s="289"/>
      <c r="S127" s="292"/>
      <c r="T127" s="295"/>
      <c r="U127" s="271" t="e">
        <f>_xlfn.XLOOKUP(T127,COHVPI!A:A,COHVPI!F:F)</f>
        <v>#N/A</v>
      </c>
      <c r="V127" s="274"/>
      <c r="W127" s="277"/>
      <c r="X127" s="277"/>
      <c r="Z127"/>
      <c r="AA127"/>
      <c r="AB127"/>
      <c r="AD127" t="e">
        <f>VLOOKUP(B127,COHVPI!A:N,14,0)</f>
        <v>#N/A</v>
      </c>
      <c r="AE127" s="95" t="e">
        <f>VLOOKUP(B127,COHVPI!A:E,5,0)</f>
        <v>#N/A</v>
      </c>
      <c r="AF127" s="95" t="e">
        <f t="shared" si="6"/>
        <v>#N/A</v>
      </c>
      <c r="AJ127" s="173"/>
    </row>
    <row r="128" spans="1:36" s="35" customFormat="1" ht="16.5" customHeight="1" outlineLevel="1" x14ac:dyDescent="0.25">
      <c r="A128" s="98">
        <v>13</v>
      </c>
      <c r="B128" s="150">
        <v>1961592</v>
      </c>
      <c r="C128" s="26" t="s">
        <v>749</v>
      </c>
      <c r="D128" s="104">
        <v>10000</v>
      </c>
      <c r="E128" s="90" t="e">
        <f>_xlfn.XLOOKUP(A128,COHVPI!#REF!,COHVPI!E:E)</f>
        <v>#REF!</v>
      </c>
      <c r="F128" s="90" t="e">
        <f>_xlfn.XLOOKUP(B128,COHVPI!A:A,COHVPI!F:F)</f>
        <v>#N/A</v>
      </c>
      <c r="G128" s="74">
        <v>469296</v>
      </c>
      <c r="H128" s="111" t="s">
        <v>651</v>
      </c>
      <c r="I128" s="167">
        <v>46157</v>
      </c>
      <c r="J128" s="122">
        <v>46157</v>
      </c>
      <c r="K128" s="72"/>
      <c r="L128" s="72"/>
      <c r="M128" s="72"/>
      <c r="N128" s="106" t="e">
        <f>_xlfn.XLOOKUP('Linhas Rápidas'!B128,COHVPI!A:A,COHVPI!I:I)</f>
        <v>#N/A</v>
      </c>
      <c r="O128" s="176" t="s">
        <v>21</v>
      </c>
      <c r="P128" s="257" t="s">
        <v>823</v>
      </c>
      <c r="R128" s="290"/>
      <c r="S128" s="293"/>
      <c r="T128" s="296"/>
      <c r="U128" s="272"/>
      <c r="V128" s="275"/>
      <c r="W128" s="278"/>
      <c r="X128" s="278"/>
      <c r="Z128"/>
      <c r="AA128"/>
      <c r="AB128"/>
      <c r="AD128" t="e">
        <f>VLOOKUP(B128,COHVPI!A:N,14,0)</f>
        <v>#N/A</v>
      </c>
      <c r="AE128" s="95" t="e">
        <f>VLOOKUP(B128,COHVPI!A:E,5,0)</f>
        <v>#N/A</v>
      </c>
      <c r="AF128" s="95" t="e">
        <f t="shared" si="6"/>
        <v>#N/A</v>
      </c>
      <c r="AJ128" s="173"/>
    </row>
    <row r="129" spans="1:36" s="35" customFormat="1" ht="16.5" customHeight="1" outlineLevel="1" x14ac:dyDescent="0.25">
      <c r="A129" s="98">
        <v>13</v>
      </c>
      <c r="B129" s="150">
        <v>1961593</v>
      </c>
      <c r="C129" s="26" t="s">
        <v>750</v>
      </c>
      <c r="D129" s="104">
        <v>10000</v>
      </c>
      <c r="E129" s="90" t="e">
        <f>_xlfn.XLOOKUP(A129,COHVPI!#REF!,COHVPI!E:E)</f>
        <v>#REF!</v>
      </c>
      <c r="F129" s="90" t="e">
        <f>_xlfn.XLOOKUP(B129,COHVPI!A:A,COHVPI!F:F)</f>
        <v>#N/A</v>
      </c>
      <c r="G129" s="74">
        <v>469296</v>
      </c>
      <c r="H129" s="111" t="s">
        <v>651</v>
      </c>
      <c r="I129" s="167">
        <v>46158</v>
      </c>
      <c r="J129" s="122">
        <v>46158</v>
      </c>
      <c r="K129" s="72"/>
      <c r="L129" s="72"/>
      <c r="M129" s="72"/>
      <c r="N129" s="106" t="e">
        <f>_xlfn.XLOOKUP('Linhas Rápidas'!B129,COHVPI!A:A,COHVPI!I:I)</f>
        <v>#N/A</v>
      </c>
      <c r="O129" s="176" t="s">
        <v>21</v>
      </c>
      <c r="P129" s="257" t="s">
        <v>828</v>
      </c>
      <c r="R129" s="288" t="s">
        <v>593</v>
      </c>
      <c r="S129" s="291" t="s">
        <v>594</v>
      </c>
      <c r="T129" s="294">
        <v>1961431</v>
      </c>
      <c r="U129" s="270">
        <f>_xlfn.XLOOKUP(T129,COHVPI!A:A,COHVPI!F:F)</f>
        <v>0</v>
      </c>
      <c r="V129" s="273">
        <f>_xlfn.XLOOKUP(T129,COHVPI!A:A,COHVPI!I:I)</f>
        <v>46157</v>
      </c>
      <c r="W129" s="276">
        <f>X129/24</f>
        <v>7996</v>
      </c>
      <c r="X129" s="276">
        <f>47976*4</f>
        <v>191904</v>
      </c>
      <c r="Z129"/>
      <c r="AA129"/>
      <c r="AB129"/>
      <c r="AD129" t="e">
        <f>VLOOKUP(B129,COHVPI!A:N,14,0)</f>
        <v>#N/A</v>
      </c>
      <c r="AE129" s="95" t="e">
        <f>VLOOKUP(B129,COHVPI!A:E,5,0)</f>
        <v>#N/A</v>
      </c>
      <c r="AF129" s="95" t="e">
        <f t="shared" si="6"/>
        <v>#N/A</v>
      </c>
      <c r="AJ129" s="173"/>
    </row>
    <row r="130" spans="1:36" s="35" customFormat="1" ht="16.5" customHeight="1" outlineLevel="1" x14ac:dyDescent="0.25">
      <c r="A130" s="98">
        <v>13</v>
      </c>
      <c r="B130" s="150">
        <v>1961594</v>
      </c>
      <c r="C130" s="26" t="s">
        <v>751</v>
      </c>
      <c r="D130" s="104">
        <v>10000</v>
      </c>
      <c r="E130" s="90" t="e">
        <f>_xlfn.XLOOKUP(A130,COHVPI!#REF!,COHVPI!E:E)</f>
        <v>#REF!</v>
      </c>
      <c r="F130" s="90" t="e">
        <f>_xlfn.XLOOKUP(B130,COHVPI!A:A,COHVPI!F:F)</f>
        <v>#N/A</v>
      </c>
      <c r="G130" s="74">
        <v>469296</v>
      </c>
      <c r="H130" s="111" t="s">
        <v>651</v>
      </c>
      <c r="I130" s="167">
        <v>46158</v>
      </c>
      <c r="J130" s="122">
        <v>46158</v>
      </c>
      <c r="K130" s="72"/>
      <c r="L130" s="72"/>
      <c r="M130" s="72"/>
      <c r="N130" s="106" t="e">
        <f>_xlfn.XLOOKUP('Linhas Rápidas'!B130,COHVPI!A:A,COHVPI!I:I)</f>
        <v>#N/A</v>
      </c>
      <c r="O130" s="176" t="s">
        <v>21</v>
      </c>
      <c r="P130" s="257" t="s">
        <v>828</v>
      </c>
      <c r="R130" s="289"/>
      <c r="S130" s="292"/>
      <c r="T130" s="295"/>
      <c r="U130" s="271"/>
      <c r="V130" s="274"/>
      <c r="W130" s="277"/>
      <c r="X130" s="277"/>
      <c r="Z130"/>
      <c r="AA130"/>
      <c r="AB130"/>
      <c r="AD130" t="e">
        <f>VLOOKUP(B130,COHVPI!A:N,14,0)</f>
        <v>#N/A</v>
      </c>
      <c r="AE130" s="95" t="e">
        <f>VLOOKUP(B130,COHVPI!A:E,5,0)</f>
        <v>#N/A</v>
      </c>
      <c r="AF130" s="95" t="e">
        <f t="shared" si="6"/>
        <v>#N/A</v>
      </c>
      <c r="AJ130" s="173"/>
    </row>
    <row r="131" spans="1:36" s="35" customFormat="1" ht="16.5" customHeight="1" outlineLevel="1" x14ac:dyDescent="0.25">
      <c r="A131" s="98">
        <v>13</v>
      </c>
      <c r="B131" s="150">
        <v>1961595</v>
      </c>
      <c r="C131" s="26" t="s">
        <v>752</v>
      </c>
      <c r="D131" s="104">
        <v>10000</v>
      </c>
      <c r="E131" s="90" t="e">
        <f>_xlfn.XLOOKUP(A131,COHVPI!#REF!,COHVPI!E:E)</f>
        <v>#REF!</v>
      </c>
      <c r="F131" s="90" t="e">
        <f>_xlfn.XLOOKUP(B131,COHVPI!A:A,COHVPI!F:F)</f>
        <v>#N/A</v>
      </c>
      <c r="G131" s="74">
        <v>469296</v>
      </c>
      <c r="H131" s="111" t="s">
        <v>651</v>
      </c>
      <c r="I131" s="167">
        <v>46160</v>
      </c>
      <c r="J131" s="122">
        <v>46160</v>
      </c>
      <c r="K131" s="72"/>
      <c r="L131" s="72"/>
      <c r="M131" s="72"/>
      <c r="N131" s="106" t="e">
        <f>_xlfn.XLOOKUP('Linhas Rápidas'!B131,COHVPI!A:A,COHVPI!I:I)</f>
        <v>#N/A</v>
      </c>
      <c r="O131" s="176" t="s">
        <v>21</v>
      </c>
      <c r="P131" s="257" t="s">
        <v>828</v>
      </c>
      <c r="R131" s="289"/>
      <c r="S131" s="292"/>
      <c r="T131" s="295"/>
      <c r="U131" s="271">
        <f>_xlfn.XLOOKUP(T131,COHVPI!A:A,COHVPI!F:F)</f>
        <v>0</v>
      </c>
      <c r="V131" s="274"/>
      <c r="W131" s="277"/>
      <c r="X131" s="277"/>
      <c r="Z131"/>
      <c r="AA131"/>
      <c r="AB131"/>
      <c r="AD131" t="e">
        <f>VLOOKUP(B131,COHVPI!A:N,14,0)</f>
        <v>#N/A</v>
      </c>
      <c r="AE131" s="95" t="e">
        <f>VLOOKUP(B131,COHVPI!A:E,5,0)</f>
        <v>#N/A</v>
      </c>
      <c r="AF131" s="95" t="e">
        <f t="shared" si="6"/>
        <v>#N/A</v>
      </c>
      <c r="AJ131" s="173"/>
    </row>
    <row r="132" spans="1:36" s="35" customFormat="1" ht="16.5" customHeight="1" outlineLevel="1" x14ac:dyDescent="0.25">
      <c r="A132" s="98">
        <v>13</v>
      </c>
      <c r="B132" s="150">
        <v>1961596</v>
      </c>
      <c r="C132" s="26" t="s">
        <v>753</v>
      </c>
      <c r="D132" s="104">
        <v>10000</v>
      </c>
      <c r="E132" s="90" t="e">
        <f>_xlfn.XLOOKUP(A132,COHVPI!#REF!,COHVPI!E:E)</f>
        <v>#REF!</v>
      </c>
      <c r="F132" s="90" t="e">
        <f>_xlfn.XLOOKUP(B132,COHVPI!A:A,COHVPI!F:F)</f>
        <v>#N/A</v>
      </c>
      <c r="G132" s="74">
        <v>469296</v>
      </c>
      <c r="H132" s="111" t="s">
        <v>651</v>
      </c>
      <c r="I132" s="167">
        <v>46160</v>
      </c>
      <c r="J132" s="122">
        <v>46160</v>
      </c>
      <c r="K132" s="72"/>
      <c r="L132" s="72"/>
      <c r="M132" s="72"/>
      <c r="N132" s="106" t="e">
        <f>_xlfn.XLOOKUP('Linhas Rápidas'!B132,COHVPI!A:A,COHVPI!I:I)</f>
        <v>#N/A</v>
      </c>
      <c r="O132" s="176" t="s">
        <v>21</v>
      </c>
      <c r="P132" s="257" t="s">
        <v>828</v>
      </c>
      <c r="R132" s="290"/>
      <c r="S132" s="293"/>
      <c r="T132" s="296"/>
      <c r="U132" s="272"/>
      <c r="V132" s="275"/>
      <c r="W132" s="278"/>
      <c r="X132" s="278"/>
      <c r="Z132"/>
      <c r="AA132"/>
      <c r="AB132"/>
      <c r="AD132" t="e">
        <f>VLOOKUP(B132,COHVPI!A:N,14,0)</f>
        <v>#N/A</v>
      </c>
      <c r="AE132" s="95" t="e">
        <f>VLOOKUP(B132,COHVPI!A:E,5,0)</f>
        <v>#N/A</v>
      </c>
      <c r="AF132" s="95" t="e">
        <f t="shared" si="6"/>
        <v>#N/A</v>
      </c>
      <c r="AJ132" s="173"/>
    </row>
    <row r="133" spans="1:36" s="27" customFormat="1" ht="16.5" customHeight="1" thickBot="1" x14ac:dyDescent="0.3">
      <c r="A133" s="96"/>
      <c r="B133" s="85"/>
      <c r="C133" s="84"/>
      <c r="D133" s="70"/>
      <c r="E133" s="70"/>
      <c r="F133" s="70"/>
      <c r="G133" s="86"/>
      <c r="H133" s="113"/>
      <c r="I133" s="87"/>
      <c r="J133" s="87"/>
      <c r="K133" s="88"/>
      <c r="L133" s="88"/>
      <c r="M133" s="88"/>
      <c r="N133" s="88"/>
      <c r="O133" s="159"/>
      <c r="P133" s="116"/>
      <c r="Q133"/>
      <c r="R133" s="68"/>
      <c r="S133" s="113"/>
      <c r="T133" s="69"/>
      <c r="U133" s="69"/>
      <c r="V133" s="71"/>
      <c r="W133" s="70"/>
      <c r="X133" s="70"/>
      <c r="Y133"/>
      <c r="Z133"/>
      <c r="AA133"/>
      <c r="AB133"/>
      <c r="AD133" t="e">
        <f>VLOOKUP(B133,COHVPI!A:N,14,0)</f>
        <v>#N/A</v>
      </c>
      <c r="AE133" s="95" t="e">
        <f>VLOOKUP(B133,COHVPI!A:E,5,0)</f>
        <v>#N/A</v>
      </c>
      <c r="AF133" s="95" t="e">
        <f t="shared" ref="AF133:AF136" si="7">AE133-D133</f>
        <v>#N/A</v>
      </c>
      <c r="AI133"/>
      <c r="AJ133" s="95"/>
    </row>
    <row r="134" spans="1:36" ht="15.75" customHeight="1" thickBot="1" x14ac:dyDescent="0.3">
      <c r="A134" s="6"/>
      <c r="B134" s="6"/>
      <c r="D134" s="6"/>
      <c r="E134" s="6"/>
      <c r="F134" s="6"/>
      <c r="H134"/>
      <c r="I134"/>
      <c r="J134"/>
      <c r="K134"/>
      <c r="L134"/>
      <c r="M134"/>
      <c r="N134"/>
      <c r="O134" s="158"/>
      <c r="P134" s="14"/>
      <c r="R134" s="14"/>
      <c r="S134" s="14"/>
      <c r="T134" s="8"/>
      <c r="U134" s="6"/>
      <c r="V134" s="6"/>
      <c r="W134" s="6"/>
      <c r="X134" s="6"/>
      <c r="Z134"/>
      <c r="AA134"/>
      <c r="AB134"/>
      <c r="AD134" t="e">
        <f>VLOOKUP(B134,COHVPI!A:N,14,0)</f>
        <v>#N/A</v>
      </c>
      <c r="AE134" s="95" t="e">
        <f>VLOOKUP(B134,COHVPI!A:E,5,0)</f>
        <v>#N/A</v>
      </c>
      <c r="AF134" s="95" t="e">
        <f t="shared" si="7"/>
        <v>#N/A</v>
      </c>
      <c r="AJ134" s="95"/>
    </row>
    <row r="135" spans="1:36" s="28" customFormat="1" ht="27" customHeight="1" thickBot="1" x14ac:dyDescent="0.3">
      <c r="A135" s="317" t="s">
        <v>488</v>
      </c>
      <c r="B135" s="317"/>
      <c r="C135" s="317"/>
      <c r="D135" s="317"/>
      <c r="E135" s="317"/>
      <c r="F135" s="317"/>
      <c r="G135" s="317"/>
      <c r="H135" s="317"/>
      <c r="I135" s="317"/>
      <c r="J135" s="317"/>
      <c r="K135" s="317"/>
      <c r="L135" s="317"/>
      <c r="M135" s="317"/>
      <c r="N135" s="317"/>
      <c r="O135" s="317"/>
      <c r="P135" s="317"/>
      <c r="Q135"/>
      <c r="R135" s="321" t="s">
        <v>488</v>
      </c>
      <c r="S135" s="322"/>
      <c r="T135" s="322"/>
      <c r="U135" s="322"/>
      <c r="V135" s="322"/>
      <c r="W135" s="322"/>
      <c r="X135" s="322"/>
      <c r="Y135"/>
      <c r="Z135"/>
      <c r="AA135"/>
      <c r="AB135"/>
      <c r="AD135" t="e">
        <f>VLOOKUP(B135,COHVPI!A:N,14,0)</f>
        <v>#N/A</v>
      </c>
      <c r="AE135" s="95" t="e">
        <f>VLOOKUP(B135,COHVPI!A:E,5,0)</f>
        <v>#N/A</v>
      </c>
      <c r="AF135" s="95" t="e">
        <f t="shared" si="7"/>
        <v>#N/A</v>
      </c>
      <c r="AI135"/>
      <c r="AJ135" s="95"/>
    </row>
    <row r="136" spans="1:36" ht="31.5" x14ac:dyDescent="0.25">
      <c r="A136" s="10" t="s">
        <v>489</v>
      </c>
      <c r="B136" s="10" t="s">
        <v>11</v>
      </c>
      <c r="C136" s="10" t="s">
        <v>3</v>
      </c>
      <c r="D136" s="11" t="s">
        <v>4</v>
      </c>
      <c r="E136" s="139" t="s">
        <v>778</v>
      </c>
      <c r="F136" s="139" t="s">
        <v>232</v>
      </c>
      <c r="G136" s="9" t="s">
        <v>2</v>
      </c>
      <c r="H136" s="9" t="s">
        <v>10</v>
      </c>
      <c r="I136" s="20" t="s">
        <v>507</v>
      </c>
      <c r="J136" s="20" t="s">
        <v>506</v>
      </c>
      <c r="K136" s="168" t="s">
        <v>515</v>
      </c>
      <c r="L136" s="168" t="s">
        <v>514</v>
      </c>
      <c r="M136" s="168" t="s">
        <v>513</v>
      </c>
      <c r="N136" s="109" t="s">
        <v>483</v>
      </c>
      <c r="O136" s="165" t="s">
        <v>5</v>
      </c>
      <c r="P136" s="142" t="s">
        <v>821</v>
      </c>
      <c r="Q136" s="166"/>
      <c r="R136" s="18" t="s">
        <v>12</v>
      </c>
      <c r="S136" s="110" t="s">
        <v>13</v>
      </c>
      <c r="T136" s="9" t="s">
        <v>11</v>
      </c>
      <c r="U136" s="141" t="s">
        <v>232</v>
      </c>
      <c r="V136" s="108" t="s">
        <v>484</v>
      </c>
      <c r="W136" s="11" t="s">
        <v>14</v>
      </c>
      <c r="X136" s="11" t="s">
        <v>265</v>
      </c>
      <c r="Z136"/>
      <c r="AA136"/>
      <c r="AB136"/>
      <c r="AD136" t="e">
        <f>VLOOKUP(B136,COHVPI!A:N,14,0)</f>
        <v>#N/A</v>
      </c>
      <c r="AE136" s="95" t="e">
        <f>VLOOKUP(B136,COHVPI!A:E,5,0)</f>
        <v>#N/A</v>
      </c>
      <c r="AF136" s="95" t="e">
        <f t="shared" si="7"/>
        <v>#N/A</v>
      </c>
      <c r="AJ136" s="95"/>
    </row>
    <row r="137" spans="1:36" s="220" customFormat="1" x14ac:dyDescent="0.25">
      <c r="A137" s="209">
        <v>55</v>
      </c>
      <c r="B137" s="209">
        <v>1958911</v>
      </c>
      <c r="C137" s="210" t="s">
        <v>614</v>
      </c>
      <c r="D137" s="211">
        <v>9500</v>
      </c>
      <c r="E137" s="77">
        <f>_xlfn.XLOOKUP(B137,COHVPI!A:A,COHVPI!E:E,0,0,1)</f>
        <v>0</v>
      </c>
      <c r="F137" s="212" t="e">
        <f>_xlfn.XLOOKUP(B137,[1]COHVPI!A:A,[1]COHVPI!F:F)</f>
        <v>#N/A</v>
      </c>
      <c r="G137" s="114">
        <v>465659</v>
      </c>
      <c r="H137" s="111" t="s">
        <v>784</v>
      </c>
      <c r="I137" s="167">
        <v>46147</v>
      </c>
      <c r="J137" s="213">
        <v>46149</v>
      </c>
      <c r="K137" s="214"/>
      <c r="L137" s="214"/>
      <c r="M137" s="214"/>
      <c r="N137" s="214" t="e">
        <f>_xlfn.XLOOKUP(B137,[1]COHVPI!A:A,[1]COHVPI!I:I)</f>
        <v>#N/A</v>
      </c>
      <c r="O137" s="118" t="s">
        <v>21</v>
      </c>
      <c r="P137" s="123"/>
      <c r="Q137"/>
      <c r="R137" s="323" t="s">
        <v>612</v>
      </c>
      <c r="S137" s="325" t="s">
        <v>613</v>
      </c>
      <c r="T137" s="297">
        <v>1960892</v>
      </c>
      <c r="U137" s="284">
        <f>_xlfn.XLOOKUP(T137,COHVPI!A:A,COHVPI!F:F)</f>
        <v>5089</v>
      </c>
      <c r="V137" s="286">
        <f>_xlfn.XLOOKUP(T137,COHVPI!A:A,COHVPI!I:I)</f>
        <v>46149</v>
      </c>
      <c r="W137" s="284">
        <f>X137/12</f>
        <v>5380</v>
      </c>
      <c r="X137" s="284">
        <f>32280*2</f>
        <v>64560</v>
      </c>
      <c r="Y137"/>
      <c r="Z137" s="215"/>
      <c r="AA137" s="216"/>
      <c r="AB137" s="216"/>
      <c r="AC137" s="217"/>
      <c r="AD137" s="218" t="e">
        <f>VLOOKUP(B137,[1]COHVPI!A:N,14,0)</f>
        <v>#N/A</v>
      </c>
      <c r="AE137" s="218"/>
      <c r="AF137" s="219"/>
      <c r="AG137" s="218" t="e">
        <f>VLOOKUP(B137,[1]COHVPI!A:E,5,0)</f>
        <v>#N/A</v>
      </c>
      <c r="AH137" s="219" t="e">
        <f>AG137-D137</f>
        <v>#N/A</v>
      </c>
    </row>
    <row r="138" spans="1:36" s="220" customFormat="1" x14ac:dyDescent="0.25">
      <c r="A138" s="209">
        <v>55</v>
      </c>
      <c r="B138" s="209">
        <v>1958912</v>
      </c>
      <c r="C138" s="210" t="s">
        <v>615</v>
      </c>
      <c r="D138" s="211">
        <v>9500</v>
      </c>
      <c r="E138" s="77">
        <f>_xlfn.XLOOKUP(B138,COHVPI!A:A,COHVPI!E:E,0,0,1)</f>
        <v>0</v>
      </c>
      <c r="F138" s="212" t="e">
        <f>_xlfn.XLOOKUP(B138,[1]COHVPI!A:A,[1]COHVPI!F:F)</f>
        <v>#N/A</v>
      </c>
      <c r="G138" s="114">
        <v>465659</v>
      </c>
      <c r="H138" s="111" t="s">
        <v>784</v>
      </c>
      <c r="I138" s="167">
        <v>46148</v>
      </c>
      <c r="J138" s="213">
        <v>46149</v>
      </c>
      <c r="K138" s="214"/>
      <c r="L138" s="214"/>
      <c r="M138" s="214"/>
      <c r="N138" s="214" t="e">
        <f>_xlfn.XLOOKUP(B138,[1]COHVPI!A:A,[1]COHVPI!I:I)</f>
        <v>#N/A</v>
      </c>
      <c r="O138" s="118" t="s">
        <v>21</v>
      </c>
      <c r="P138" s="123"/>
      <c r="Q138"/>
      <c r="R138" s="324"/>
      <c r="S138" s="326"/>
      <c r="T138" s="298"/>
      <c r="U138" s="285"/>
      <c r="V138" s="287"/>
      <c r="W138" s="285"/>
      <c r="X138" s="285"/>
      <c r="Y138"/>
      <c r="Z138" s="215"/>
      <c r="AA138" s="216"/>
      <c r="AB138" s="216"/>
      <c r="AC138" s="217"/>
      <c r="AD138" s="218" t="e">
        <f>VLOOKUP(B138,[1]COHVPI!A:N,14,0)</f>
        <v>#N/A</v>
      </c>
      <c r="AE138" s="218"/>
      <c r="AF138" s="219"/>
      <c r="AG138" s="218" t="e">
        <f>VLOOKUP(B138,[1]COHVPI!A:E,5,0)</f>
        <v>#N/A</v>
      </c>
      <c r="AH138" s="219" t="e">
        <f>AG138-D138</f>
        <v>#N/A</v>
      </c>
    </row>
    <row r="139" spans="1:36" s="27" customFormat="1" ht="16.5" customHeight="1" x14ac:dyDescent="0.25">
      <c r="A139" s="91"/>
      <c r="B139" s="91"/>
      <c r="C139" s="92"/>
      <c r="D139" s="100"/>
      <c r="E139" s="100"/>
      <c r="F139" s="100"/>
      <c r="G139" s="93"/>
      <c r="H139" s="112" t="s">
        <v>835</v>
      </c>
      <c r="I139" s="94"/>
      <c r="J139" s="94"/>
      <c r="K139" s="94"/>
      <c r="L139" s="94"/>
      <c r="M139" s="94"/>
      <c r="N139" s="101"/>
      <c r="O139" s="177"/>
      <c r="P139" s="94"/>
      <c r="Q139"/>
      <c r="R139" s="282" t="s">
        <v>835</v>
      </c>
      <c r="S139" s="283"/>
      <c r="T139" s="283"/>
      <c r="U139" s="283"/>
      <c r="V139" s="283"/>
      <c r="W139" s="283"/>
      <c r="X139" s="283"/>
      <c r="Y139"/>
      <c r="Z139"/>
      <c r="AA139"/>
      <c r="AB139"/>
      <c r="AD139" t="e">
        <f>VLOOKUP(B139,COHVPI!A:N,14,0)</f>
        <v>#N/A</v>
      </c>
      <c r="AE139" s="95" t="e">
        <f>VLOOKUP(B139,COHVPI!A:E,5,0)</f>
        <v>#N/A</v>
      </c>
      <c r="AF139" s="95" t="e">
        <f>AE139-D139</f>
        <v>#N/A</v>
      </c>
      <c r="AG139"/>
      <c r="AH139" s="67"/>
      <c r="AI139"/>
      <c r="AJ139" s="95"/>
    </row>
    <row r="140" spans="1:36" s="27" customFormat="1" ht="15.75" customHeight="1" x14ac:dyDescent="0.25">
      <c r="A140" s="78">
        <v>55</v>
      </c>
      <c r="B140" s="98">
        <v>1961502</v>
      </c>
      <c r="C140" s="26" t="s">
        <v>762</v>
      </c>
      <c r="D140" s="26">
        <v>8600</v>
      </c>
      <c r="E140" s="90" t="e">
        <f>_xlfn.XLOOKUP(A140,COHVPI!#REF!,COHVPI!E:E)</f>
        <v>#REF!</v>
      </c>
      <c r="F140" s="90" t="e">
        <f>_xlfn.XLOOKUP(B140,COHVPI!A:A,COHVPI!F:F)</f>
        <v>#N/A</v>
      </c>
      <c r="G140" s="25">
        <v>460873</v>
      </c>
      <c r="H140" s="111" t="s">
        <v>517</v>
      </c>
      <c r="I140" s="167">
        <v>46150</v>
      </c>
      <c r="J140" s="213">
        <v>46150</v>
      </c>
      <c r="K140" s="134"/>
      <c r="L140" s="134"/>
      <c r="M140" s="134"/>
      <c r="N140" s="135" t="e">
        <f>_xlfn.XLOOKUP('Linhas Rápidas'!B140,COHVPI!A:A,COHVPI!I:I)</f>
        <v>#N/A</v>
      </c>
      <c r="O140" s="118" t="s">
        <v>21</v>
      </c>
      <c r="P140" s="192" t="s">
        <v>820</v>
      </c>
      <c r="Q140"/>
      <c r="R140" s="188" t="s">
        <v>186</v>
      </c>
      <c r="S140" s="189" t="s">
        <v>187</v>
      </c>
      <c r="T140" s="190">
        <v>1961435</v>
      </c>
      <c r="U140" s="66">
        <f>_xlfn.XLOOKUP(T140,COHVPI!A:A,COHVPI!F:F)</f>
        <v>0</v>
      </c>
      <c r="V140" s="184">
        <f>_xlfn.XLOOKUP(T140,COHVPI!A:A,COHVPI!I:I)</f>
        <v>46150</v>
      </c>
      <c r="W140" s="191">
        <f t="shared" ref="W140" si="8">X140/24</f>
        <v>4116</v>
      </c>
      <c r="X140" s="191">
        <v>98784</v>
      </c>
      <c r="Y140"/>
      <c r="Z140"/>
      <c r="AA140"/>
      <c r="AB140"/>
      <c r="AD140" t="e">
        <f>VLOOKUP(B140,COHVPI!A:N,14,0)</f>
        <v>#N/A</v>
      </c>
      <c r="AE140" s="95" t="e">
        <f>VLOOKUP(B140,COHVPI!A:E,5,0)</f>
        <v>#N/A</v>
      </c>
      <c r="AF140" s="95" t="e">
        <f>AE140-D140</f>
        <v>#N/A</v>
      </c>
      <c r="AG140"/>
      <c r="AH140" s="67"/>
      <c r="AI140"/>
      <c r="AJ140" s="95"/>
    </row>
    <row r="141" spans="1:36" s="27" customFormat="1" ht="15.75" customHeight="1" x14ac:dyDescent="0.25">
      <c r="A141" s="78">
        <v>55</v>
      </c>
      <c r="B141" s="98">
        <v>1961503</v>
      </c>
      <c r="C141" s="26" t="s">
        <v>763</v>
      </c>
      <c r="D141" s="26">
        <v>8600</v>
      </c>
      <c r="E141" s="90" t="e">
        <v>#N/A</v>
      </c>
      <c r="F141" s="90" t="e">
        <v>#N/A</v>
      </c>
      <c r="G141" s="25">
        <v>460873</v>
      </c>
      <c r="H141" s="114" t="s">
        <v>517</v>
      </c>
      <c r="I141" s="167">
        <v>46151</v>
      </c>
      <c r="J141" s="213">
        <v>46151</v>
      </c>
      <c r="K141" s="134"/>
      <c r="L141" s="134"/>
      <c r="M141" s="134"/>
      <c r="N141" s="135" t="e">
        <v>#N/A</v>
      </c>
      <c r="O141" s="118" t="s">
        <v>21</v>
      </c>
      <c r="P141" s="192" t="s">
        <v>819</v>
      </c>
      <c r="Q141"/>
      <c r="R141" s="97" t="s">
        <v>186</v>
      </c>
      <c r="S141" s="114" t="s">
        <v>187</v>
      </c>
      <c r="T141" s="25">
        <v>1961438</v>
      </c>
      <c r="U141" s="66">
        <f>_xlfn.XLOOKUP(T141,COHVPI!A:A,COHVPI!F:F)</f>
        <v>0</v>
      </c>
      <c r="V141" s="184">
        <f>_xlfn.XLOOKUP(T141,COHVPI!A:A,COHVPI!I:I)</f>
        <v>46151</v>
      </c>
      <c r="W141" s="191">
        <v>4116</v>
      </c>
      <c r="X141" s="191">
        <v>98784</v>
      </c>
      <c r="Y141"/>
      <c r="Z141"/>
      <c r="AA141"/>
      <c r="AB141"/>
      <c r="AD141" t="e">
        <v>#N/A</v>
      </c>
      <c r="AE141" s="95" t="e">
        <v>#N/A</v>
      </c>
      <c r="AF141" s="95" t="e">
        <v>#N/A</v>
      </c>
      <c r="AG141"/>
      <c r="AH141" s="67"/>
      <c r="AI141"/>
      <c r="AJ141" s="95"/>
    </row>
    <row r="142" spans="1:36" s="27" customFormat="1" ht="15.75" customHeight="1" x14ac:dyDescent="0.25">
      <c r="A142" s="78">
        <v>55</v>
      </c>
      <c r="B142" s="98">
        <v>1961504</v>
      </c>
      <c r="C142" s="26" t="s">
        <v>764</v>
      </c>
      <c r="D142" s="26">
        <v>8600</v>
      </c>
      <c r="E142" s="90" t="e">
        <f>_xlfn.XLOOKUP(A142,COHVPI!#REF!,COHVPI!E:E)</f>
        <v>#REF!</v>
      </c>
      <c r="F142" s="90" t="e">
        <f>_xlfn.XLOOKUP(B142,COHVPI!A:A,COHVPI!F:F)</f>
        <v>#N/A</v>
      </c>
      <c r="G142" s="25">
        <v>460873</v>
      </c>
      <c r="H142" s="111" t="s">
        <v>517</v>
      </c>
      <c r="I142" s="167">
        <v>46153</v>
      </c>
      <c r="J142" s="122">
        <v>46153</v>
      </c>
      <c r="K142" s="134"/>
      <c r="L142" s="134"/>
      <c r="M142" s="134"/>
      <c r="N142" s="135" t="e">
        <f>_xlfn.XLOOKUP('Linhas Rápidas'!B142,COHVPI!A:A,COHVPI!I:I)</f>
        <v>#N/A</v>
      </c>
      <c r="O142" s="118" t="s">
        <v>21</v>
      </c>
      <c r="P142" s="192" t="s">
        <v>819</v>
      </c>
      <c r="Q142"/>
      <c r="R142" s="188" t="s">
        <v>186</v>
      </c>
      <c r="S142" s="189" t="s">
        <v>187</v>
      </c>
      <c r="T142" s="190">
        <v>1961462</v>
      </c>
      <c r="U142" s="66">
        <f>_xlfn.XLOOKUP(T142,COHVPI!A:A,COHVPI!F:F)</f>
        <v>0</v>
      </c>
      <c r="V142" s="184">
        <f>_xlfn.XLOOKUP(T142,COHVPI!A:A,COHVPI!I:I)</f>
        <v>46153</v>
      </c>
      <c r="W142" s="191">
        <f t="shared" ref="W142" si="9">X142/24</f>
        <v>4116</v>
      </c>
      <c r="X142" s="191">
        <v>98784</v>
      </c>
      <c r="Y142"/>
      <c r="Z142"/>
      <c r="AA142"/>
      <c r="AB142"/>
      <c r="AD142" t="e">
        <f>VLOOKUP(B142,COHVPI!A:N,14,0)</f>
        <v>#N/A</v>
      </c>
      <c r="AE142" s="95" t="e">
        <f>VLOOKUP(B142,COHVPI!A:E,5,0)</f>
        <v>#N/A</v>
      </c>
      <c r="AF142" s="95" t="e">
        <f>AE142-D142</f>
        <v>#N/A</v>
      </c>
      <c r="AG142"/>
      <c r="AH142" s="67"/>
      <c r="AI142"/>
      <c r="AJ142" s="95"/>
    </row>
    <row r="143" spans="1:36" s="27" customFormat="1" ht="15.75" customHeight="1" x14ac:dyDescent="0.25">
      <c r="A143" s="78">
        <v>55</v>
      </c>
      <c r="B143" s="98">
        <v>1961505</v>
      </c>
      <c r="C143" s="26" t="s">
        <v>765</v>
      </c>
      <c r="D143" s="26">
        <v>8600</v>
      </c>
      <c r="E143" s="90" t="e">
        <v>#N/A</v>
      </c>
      <c r="F143" s="90" t="e">
        <v>#N/A</v>
      </c>
      <c r="G143" s="25">
        <v>460873</v>
      </c>
      <c r="H143" s="114" t="s">
        <v>517</v>
      </c>
      <c r="I143" s="167">
        <v>46154</v>
      </c>
      <c r="J143" s="122">
        <v>46154</v>
      </c>
      <c r="K143" s="134"/>
      <c r="L143" s="134"/>
      <c r="M143" s="134"/>
      <c r="N143" s="135" t="e">
        <v>#N/A</v>
      </c>
      <c r="O143" s="118" t="s">
        <v>21</v>
      </c>
      <c r="P143" s="192" t="s">
        <v>819</v>
      </c>
      <c r="Q143"/>
      <c r="R143" s="97" t="s">
        <v>186</v>
      </c>
      <c r="S143" s="114" t="s">
        <v>187</v>
      </c>
      <c r="T143" s="25">
        <v>1961465</v>
      </c>
      <c r="U143" s="66">
        <f>_xlfn.XLOOKUP(T143,COHVPI!A:A,COHVPI!F:F)</f>
        <v>0</v>
      </c>
      <c r="V143" s="184">
        <f>_xlfn.XLOOKUP(T143,COHVPI!A:A,COHVPI!I:I)</f>
        <v>46154</v>
      </c>
      <c r="W143" s="191">
        <v>4116</v>
      </c>
      <c r="X143" s="191">
        <v>98784</v>
      </c>
      <c r="Y143"/>
      <c r="Z143"/>
      <c r="AA143"/>
      <c r="AB143"/>
      <c r="AD143" t="e">
        <v>#N/A</v>
      </c>
      <c r="AE143" s="95" t="e">
        <v>#N/A</v>
      </c>
      <c r="AF143" s="95" t="e">
        <v>#N/A</v>
      </c>
      <c r="AG143"/>
      <c r="AH143" s="67"/>
      <c r="AI143"/>
      <c r="AJ143" s="95"/>
    </row>
    <row r="144" spans="1:36" s="27" customFormat="1" ht="16.5" customHeight="1" x14ac:dyDescent="0.25">
      <c r="A144" s="91"/>
      <c r="B144" s="91"/>
      <c r="C144" s="92"/>
      <c r="D144" s="100"/>
      <c r="E144" s="100"/>
      <c r="F144" s="100"/>
      <c r="G144" s="93"/>
      <c r="H144" s="112" t="s">
        <v>836</v>
      </c>
      <c r="I144" s="94"/>
      <c r="J144" s="94"/>
      <c r="K144" s="94"/>
      <c r="L144" s="94"/>
      <c r="M144" s="94"/>
      <c r="N144" s="101"/>
      <c r="O144" s="177"/>
      <c r="P144" s="94"/>
      <c r="Q144"/>
      <c r="R144" s="282" t="s">
        <v>562</v>
      </c>
      <c r="S144" s="283"/>
      <c r="T144" s="283"/>
      <c r="U144" s="283"/>
      <c r="V144" s="283"/>
      <c r="W144" s="283"/>
      <c r="X144" s="283"/>
      <c r="Y144"/>
      <c r="Z144"/>
      <c r="AA144"/>
      <c r="AB144"/>
      <c r="AD144" t="e">
        <f>VLOOKUP(B144,COHVPI!A:N,14,0)</f>
        <v>#N/A</v>
      </c>
      <c r="AE144" s="95" t="e">
        <f>VLOOKUP(B144,COHVPI!A:E,5,0)</f>
        <v>#N/A</v>
      </c>
      <c r="AF144" s="95" t="e">
        <f>AE144-D144</f>
        <v>#N/A</v>
      </c>
      <c r="AG144"/>
      <c r="AH144" s="67"/>
      <c r="AI144"/>
      <c r="AJ144" s="95"/>
    </row>
    <row r="145" spans="1:36" s="27" customFormat="1" ht="15.75" customHeight="1" x14ac:dyDescent="0.25">
      <c r="A145" s="193">
        <v>55</v>
      </c>
      <c r="B145" s="174">
        <v>1961493</v>
      </c>
      <c r="C145" s="131" t="s">
        <v>754</v>
      </c>
      <c r="D145" s="131">
        <v>8600</v>
      </c>
      <c r="E145" s="77">
        <f>_xlfn.XLOOKUP(B145,COHVPI!A:A,COHVPI!E:E,0,0,1)</f>
        <v>0</v>
      </c>
      <c r="F145" s="130"/>
      <c r="G145" s="194">
        <v>460870</v>
      </c>
      <c r="H145" s="175" t="s">
        <v>486</v>
      </c>
      <c r="I145" s="167">
        <v>46155</v>
      </c>
      <c r="J145" s="132">
        <v>46155</v>
      </c>
      <c r="K145" s="134"/>
      <c r="L145" s="134"/>
      <c r="M145" s="134"/>
      <c r="N145" s="135"/>
      <c r="O145" s="196" t="s">
        <v>559</v>
      </c>
      <c r="P145" s="123" t="s">
        <v>820</v>
      </c>
      <c r="Q145"/>
      <c r="R145" s="261" t="s">
        <v>84</v>
      </c>
      <c r="S145" s="281" t="s">
        <v>85</v>
      </c>
      <c r="T145" s="267">
        <v>1961415</v>
      </c>
      <c r="U145" s="270">
        <f>_xlfn.XLOOKUP(T145,COHVPI!A:A,COHVPI!F:F)</f>
        <v>0</v>
      </c>
      <c r="V145" s="273">
        <f>_xlfn.XLOOKUP(T145,COHVPI!A:A,COHVPI!I:I)</f>
        <v>46155</v>
      </c>
      <c r="W145" s="276">
        <f>X145/12</f>
        <v>8232</v>
      </c>
      <c r="X145" s="276">
        <f>98784</f>
        <v>98784</v>
      </c>
      <c r="Y145"/>
      <c r="Z145"/>
      <c r="AA145"/>
      <c r="AB145"/>
      <c r="AD145"/>
      <c r="AE145" s="95"/>
      <c r="AF145" s="95"/>
      <c r="AG145"/>
      <c r="AH145" s="67"/>
      <c r="AI145"/>
      <c r="AJ145" s="95"/>
    </row>
    <row r="146" spans="1:36" s="27" customFormat="1" ht="15.75" customHeight="1" x14ac:dyDescent="0.25">
      <c r="A146" s="193">
        <v>55</v>
      </c>
      <c r="B146" s="174">
        <v>1961494</v>
      </c>
      <c r="C146" s="131" t="s">
        <v>755</v>
      </c>
      <c r="D146" s="131">
        <v>8600</v>
      </c>
      <c r="E146" s="77">
        <f>_xlfn.XLOOKUP(B146,COHVPI!A:A,COHVPI!E:E,0,0,1)</f>
        <v>0</v>
      </c>
      <c r="F146" s="130"/>
      <c r="G146" s="194">
        <v>460870</v>
      </c>
      <c r="H146" s="175" t="s">
        <v>486</v>
      </c>
      <c r="I146" s="167">
        <v>46155</v>
      </c>
      <c r="J146" s="132">
        <v>46155</v>
      </c>
      <c r="K146" s="134"/>
      <c r="L146" s="134"/>
      <c r="M146" s="134"/>
      <c r="N146" s="135"/>
      <c r="O146" s="196" t="s">
        <v>559</v>
      </c>
      <c r="P146" s="123" t="s">
        <v>820</v>
      </c>
      <c r="Q146"/>
      <c r="R146" s="263"/>
      <c r="S146" s="266"/>
      <c r="T146" s="269"/>
      <c r="U146" s="272"/>
      <c r="V146" s="275"/>
      <c r="W146" s="278"/>
      <c r="X146" s="278"/>
      <c r="Y146"/>
      <c r="Z146"/>
      <c r="AA146"/>
      <c r="AB146"/>
      <c r="AD146"/>
      <c r="AE146" s="95"/>
      <c r="AF146" s="95"/>
      <c r="AG146"/>
      <c r="AH146" s="67"/>
      <c r="AI146"/>
      <c r="AJ146" s="95"/>
    </row>
    <row r="147" spans="1:36" s="27" customFormat="1" ht="15.75" customHeight="1" x14ac:dyDescent="0.25">
      <c r="A147" s="193">
        <v>55</v>
      </c>
      <c r="B147" s="174">
        <v>1961495</v>
      </c>
      <c r="C147" s="131" t="s">
        <v>756</v>
      </c>
      <c r="D147" s="131">
        <v>8600</v>
      </c>
      <c r="E147" s="77">
        <f>_xlfn.XLOOKUP(B147,COHVPI!A:A,COHVPI!E:E,0,0,1)</f>
        <v>0</v>
      </c>
      <c r="F147" s="130"/>
      <c r="G147" s="194">
        <v>460870</v>
      </c>
      <c r="H147" s="175" t="s">
        <v>486</v>
      </c>
      <c r="I147" s="167">
        <v>46156</v>
      </c>
      <c r="J147" s="132">
        <v>46156</v>
      </c>
      <c r="K147" s="134"/>
      <c r="L147" s="134"/>
      <c r="M147" s="134"/>
      <c r="N147" s="135"/>
      <c r="O147" s="196" t="s">
        <v>559</v>
      </c>
      <c r="P147" s="123" t="s">
        <v>820</v>
      </c>
      <c r="Q147"/>
      <c r="R147" s="261" t="s">
        <v>84</v>
      </c>
      <c r="S147" s="281" t="s">
        <v>85</v>
      </c>
      <c r="T147" s="267">
        <v>1961418</v>
      </c>
      <c r="U147" s="270">
        <f>_xlfn.XLOOKUP(T147,COHVPI!A:A,COHVPI!F:F)</f>
        <v>0</v>
      </c>
      <c r="V147" s="273">
        <f>_xlfn.XLOOKUP(T147,COHVPI!A:A,COHVPI!I:I)</f>
        <v>46156</v>
      </c>
      <c r="W147" s="276">
        <f>X147/12</f>
        <v>8232</v>
      </c>
      <c r="X147" s="276">
        <v>98784</v>
      </c>
      <c r="Y147"/>
      <c r="Z147"/>
      <c r="AA147"/>
      <c r="AB147"/>
      <c r="AD147"/>
      <c r="AE147" s="95"/>
      <c r="AF147" s="95"/>
      <c r="AG147"/>
      <c r="AH147" s="67"/>
      <c r="AI147"/>
      <c r="AJ147" s="95"/>
    </row>
    <row r="148" spans="1:36" s="27" customFormat="1" ht="15.75" customHeight="1" x14ac:dyDescent="0.25">
      <c r="A148" s="193">
        <v>55</v>
      </c>
      <c r="B148" s="174">
        <v>1961496</v>
      </c>
      <c r="C148" s="131" t="s">
        <v>757</v>
      </c>
      <c r="D148" s="131">
        <v>8600</v>
      </c>
      <c r="E148" s="77">
        <f>_xlfn.XLOOKUP(B148,COHVPI!A:A,COHVPI!E:E,0,0,1)</f>
        <v>0</v>
      </c>
      <c r="F148" s="130"/>
      <c r="G148" s="194">
        <v>460870</v>
      </c>
      <c r="H148" s="175" t="s">
        <v>486</v>
      </c>
      <c r="I148" s="167">
        <v>46156</v>
      </c>
      <c r="J148" s="132">
        <v>46156</v>
      </c>
      <c r="K148" s="134"/>
      <c r="L148" s="134"/>
      <c r="M148" s="134"/>
      <c r="N148" s="135"/>
      <c r="O148" s="196" t="s">
        <v>559</v>
      </c>
      <c r="P148" s="123" t="s">
        <v>820</v>
      </c>
      <c r="Q148"/>
      <c r="R148" s="263"/>
      <c r="S148" s="266"/>
      <c r="T148" s="269"/>
      <c r="U148" s="272"/>
      <c r="V148" s="275"/>
      <c r="W148" s="278"/>
      <c r="X148" s="278"/>
      <c r="Y148"/>
      <c r="Z148"/>
      <c r="AA148"/>
      <c r="AB148"/>
      <c r="AD148"/>
      <c r="AE148" s="95"/>
      <c r="AF148" s="95"/>
      <c r="AG148"/>
      <c r="AH148" s="67"/>
      <c r="AI148"/>
      <c r="AJ148" s="95"/>
    </row>
    <row r="149" spans="1:36" s="27" customFormat="1" ht="15.75" customHeight="1" x14ac:dyDescent="0.25">
      <c r="A149" s="193">
        <v>55</v>
      </c>
      <c r="B149" s="174">
        <v>1961497</v>
      </c>
      <c r="C149" s="131" t="s">
        <v>758</v>
      </c>
      <c r="D149" s="131">
        <v>8600</v>
      </c>
      <c r="E149" s="77">
        <f>_xlfn.XLOOKUP(B149,COHVPI!A:A,COHVPI!E:E,0,0,1)</f>
        <v>0</v>
      </c>
      <c r="F149" s="130"/>
      <c r="G149" s="194">
        <v>460870</v>
      </c>
      <c r="H149" s="175" t="s">
        <v>486</v>
      </c>
      <c r="I149" s="167">
        <v>46157</v>
      </c>
      <c r="J149" s="132">
        <v>46157</v>
      </c>
      <c r="K149" s="134"/>
      <c r="L149" s="134"/>
      <c r="M149" s="134"/>
      <c r="N149" s="135"/>
      <c r="O149" s="196" t="s">
        <v>559</v>
      </c>
      <c r="P149" s="123" t="s">
        <v>820</v>
      </c>
      <c r="Q149"/>
      <c r="R149" s="261" t="s">
        <v>84</v>
      </c>
      <c r="S149" s="281" t="s">
        <v>85</v>
      </c>
      <c r="T149" s="267">
        <v>1961421</v>
      </c>
      <c r="U149" s="270">
        <f>_xlfn.XLOOKUP(T149,COHVPI!A:A,COHVPI!F:F)</f>
        <v>0</v>
      </c>
      <c r="V149" s="273">
        <f>_xlfn.XLOOKUP(T149,COHVPI!A:A,COHVPI!I:I)</f>
        <v>46157</v>
      </c>
      <c r="W149" s="276">
        <f>X149/12</f>
        <v>8232</v>
      </c>
      <c r="X149" s="276">
        <v>98784</v>
      </c>
      <c r="Y149"/>
      <c r="Z149"/>
      <c r="AA149"/>
      <c r="AB149"/>
      <c r="AD149"/>
      <c r="AE149" s="95"/>
      <c r="AF149" s="95"/>
      <c r="AG149"/>
      <c r="AH149" s="67"/>
      <c r="AI149"/>
      <c r="AJ149" s="95"/>
    </row>
    <row r="150" spans="1:36" s="27" customFormat="1" ht="15.75" customHeight="1" x14ac:dyDescent="0.25">
      <c r="A150" s="193">
        <v>55</v>
      </c>
      <c r="B150" s="174">
        <v>1961498</v>
      </c>
      <c r="C150" s="131" t="s">
        <v>759</v>
      </c>
      <c r="D150" s="131">
        <v>8600</v>
      </c>
      <c r="E150" s="77">
        <f>_xlfn.XLOOKUP(B150,COHVPI!A:A,COHVPI!E:E,0,0,1)</f>
        <v>0</v>
      </c>
      <c r="F150" s="130"/>
      <c r="G150" s="194">
        <v>460870</v>
      </c>
      <c r="H150" s="175" t="s">
        <v>486</v>
      </c>
      <c r="I150" s="167">
        <v>46157</v>
      </c>
      <c r="J150" s="132">
        <v>46157</v>
      </c>
      <c r="K150" s="134"/>
      <c r="L150" s="134"/>
      <c r="M150" s="134"/>
      <c r="N150" s="135"/>
      <c r="O150" s="196" t="s">
        <v>559</v>
      </c>
      <c r="P150" s="123" t="s">
        <v>820</v>
      </c>
      <c r="Q150"/>
      <c r="R150" s="263"/>
      <c r="S150" s="266"/>
      <c r="T150" s="269"/>
      <c r="U150" s="272"/>
      <c r="V150" s="275"/>
      <c r="W150" s="278"/>
      <c r="X150" s="278"/>
      <c r="Y150"/>
      <c r="Z150"/>
      <c r="AA150"/>
      <c r="AB150"/>
      <c r="AD150"/>
      <c r="AE150" s="95"/>
      <c r="AF150" s="95"/>
      <c r="AG150"/>
      <c r="AH150" s="67"/>
      <c r="AI150"/>
      <c r="AJ150" s="95"/>
    </row>
    <row r="151" spans="1:36" s="27" customFormat="1" ht="15.75" customHeight="1" x14ac:dyDescent="0.25">
      <c r="A151" s="193">
        <v>55</v>
      </c>
      <c r="B151" s="174">
        <v>1961484</v>
      </c>
      <c r="C151" s="131" t="s">
        <v>760</v>
      </c>
      <c r="D151" s="131">
        <v>8600</v>
      </c>
      <c r="E151" s="77">
        <f>_xlfn.XLOOKUP(B151,COHVPI!A:A,COHVPI!E:E,0,0,1)</f>
        <v>0</v>
      </c>
      <c r="F151" s="130"/>
      <c r="G151" s="194">
        <v>460868</v>
      </c>
      <c r="H151" s="175" t="s">
        <v>652</v>
      </c>
      <c r="I151" s="167">
        <v>46158</v>
      </c>
      <c r="J151" s="132">
        <v>46158</v>
      </c>
      <c r="K151" s="134"/>
      <c r="L151" s="134"/>
      <c r="M151" s="134"/>
      <c r="N151" s="135"/>
      <c r="O151" s="196" t="s">
        <v>559</v>
      </c>
      <c r="P151" s="123" t="s">
        <v>820</v>
      </c>
      <c r="Q151"/>
      <c r="R151" s="261" t="s">
        <v>70</v>
      </c>
      <c r="S151" s="281" t="s">
        <v>71</v>
      </c>
      <c r="T151" s="267">
        <v>1961424</v>
      </c>
      <c r="U151" s="270">
        <f>_xlfn.XLOOKUP(T151,COHVPI!A:A,COHVPI!F:F)</f>
        <v>0</v>
      </c>
      <c r="V151" s="273">
        <f>_xlfn.XLOOKUP(T151,COHVPI!A:A,COHVPI!I:I)</f>
        <v>46158</v>
      </c>
      <c r="W151" s="276">
        <f>X151/12</f>
        <v>8232</v>
      </c>
      <c r="X151" s="276">
        <v>98784</v>
      </c>
      <c r="Y151"/>
      <c r="Z151"/>
      <c r="AA151"/>
      <c r="AB151"/>
      <c r="AD151"/>
      <c r="AE151" s="95"/>
      <c r="AF151" s="95"/>
      <c r="AG151"/>
      <c r="AH151" s="67"/>
      <c r="AI151"/>
      <c r="AJ151" s="95"/>
    </row>
    <row r="152" spans="1:36" s="27" customFormat="1" ht="15.75" customHeight="1" x14ac:dyDescent="0.25">
      <c r="A152" s="193">
        <v>55</v>
      </c>
      <c r="B152" s="174">
        <v>1961485</v>
      </c>
      <c r="C152" s="131" t="s">
        <v>761</v>
      </c>
      <c r="D152" s="131">
        <v>8600</v>
      </c>
      <c r="E152" s="77">
        <f>_xlfn.XLOOKUP(B152,COHVPI!A:A,COHVPI!E:E,0,0,1)</f>
        <v>0</v>
      </c>
      <c r="F152" s="130"/>
      <c r="G152" s="194">
        <v>460868</v>
      </c>
      <c r="H152" s="175" t="s">
        <v>652</v>
      </c>
      <c r="I152" s="167">
        <v>46158</v>
      </c>
      <c r="J152" s="132">
        <v>46158</v>
      </c>
      <c r="K152" s="134"/>
      <c r="L152" s="134"/>
      <c r="M152" s="134"/>
      <c r="N152" s="135"/>
      <c r="O152" s="196" t="s">
        <v>559</v>
      </c>
      <c r="P152" s="123" t="s">
        <v>820</v>
      </c>
      <c r="Q152"/>
      <c r="R152" s="263"/>
      <c r="S152" s="266"/>
      <c r="T152" s="269"/>
      <c r="U152" s="272"/>
      <c r="V152" s="275"/>
      <c r="W152" s="278"/>
      <c r="X152" s="278"/>
      <c r="Y152"/>
      <c r="Z152"/>
      <c r="AA152"/>
      <c r="AB152"/>
      <c r="AD152"/>
      <c r="AE152" s="95"/>
      <c r="AF152" s="95"/>
      <c r="AG152"/>
      <c r="AH152" s="67"/>
      <c r="AI152"/>
      <c r="AJ152" s="95"/>
    </row>
    <row r="153" spans="1:36" s="27" customFormat="1" ht="15.75" customHeight="1" thickBot="1" x14ac:dyDescent="0.3">
      <c r="A153" s="89"/>
      <c r="B153" s="13"/>
      <c r="C153" s="43"/>
      <c r="D153" s="45"/>
      <c r="E153" s="45"/>
      <c r="F153" s="45"/>
      <c r="G153" s="36"/>
      <c r="H153" s="50"/>
      <c r="I153" s="151"/>
      <c r="J153" s="151"/>
      <c r="K153" s="171"/>
      <c r="L153" s="171"/>
      <c r="M153" s="171"/>
      <c r="N153" s="38" t="e">
        <f>_xlfn.XLOOKUP('Linhas Rápidas'!B153,COHVPI!A:A,COHVPI!I:I)</f>
        <v>#N/A</v>
      </c>
      <c r="O153" s="160"/>
      <c r="P153" s="42"/>
      <c r="Q153"/>
      <c r="R153" s="34"/>
      <c r="S153" s="39"/>
      <c r="T153" s="39"/>
      <c r="U153" s="40"/>
      <c r="V153" s="41"/>
      <c r="W153" s="40"/>
      <c r="X153" s="41"/>
      <c r="Y153"/>
      <c r="Z153"/>
      <c r="AA153"/>
      <c r="AB153"/>
      <c r="AD153" t="e">
        <f>VLOOKUP(B153,COHVPI!A:N,14,0)</f>
        <v>#N/A</v>
      </c>
      <c r="AE153" s="95" t="e">
        <f>VLOOKUP(B153,COHVPI!A:E,5,0)</f>
        <v>#N/A</v>
      </c>
      <c r="AF153" s="95" t="e">
        <f t="shared" ref="AF153:AF208" si="10">AE153-D153</f>
        <v>#N/A</v>
      </c>
      <c r="AG153"/>
      <c r="AI153"/>
      <c r="AJ153" s="95"/>
    </row>
    <row r="154" spans="1:36" ht="15.75" customHeight="1" thickBot="1" x14ac:dyDescent="0.3">
      <c r="A154" s="6"/>
      <c r="B154" s="6"/>
      <c r="D154" s="6"/>
      <c r="E154" s="6"/>
      <c r="F154" s="6"/>
      <c r="H154" s="19"/>
      <c r="I154"/>
      <c r="J154"/>
      <c r="K154"/>
      <c r="L154"/>
      <c r="M154"/>
      <c r="N154"/>
      <c r="O154" s="158"/>
      <c r="P154" s="14"/>
      <c r="R154" s="14"/>
      <c r="S154" s="14"/>
      <c r="T154" s="6"/>
      <c r="U154" s="6"/>
      <c r="V154" s="6"/>
      <c r="W154" s="6"/>
      <c r="X154" s="6"/>
      <c r="Z154"/>
      <c r="AA154"/>
      <c r="AB154"/>
      <c r="AD154" t="e">
        <f>VLOOKUP(B154,COHVPI!A:N,14,0)</f>
        <v>#N/A</v>
      </c>
      <c r="AE154" s="95" t="e">
        <f>VLOOKUP(B154,COHVPI!A:E,5,0)</f>
        <v>#N/A</v>
      </c>
      <c r="AF154" s="95" t="e">
        <f t="shared" si="10"/>
        <v>#N/A</v>
      </c>
      <c r="AJ154" s="95"/>
    </row>
    <row r="155" spans="1:36" s="28" customFormat="1" ht="27" customHeight="1" thickBot="1" x14ac:dyDescent="0.3">
      <c r="A155" s="317" t="s">
        <v>492</v>
      </c>
      <c r="B155" s="317"/>
      <c r="C155" s="317"/>
      <c r="D155" s="317"/>
      <c r="E155" s="317"/>
      <c r="F155" s="317"/>
      <c r="G155" s="317"/>
      <c r="H155" s="317"/>
      <c r="I155" s="317"/>
      <c r="J155" s="317"/>
      <c r="K155" s="317"/>
      <c r="L155" s="317"/>
      <c r="M155" s="317"/>
      <c r="N155" s="317"/>
      <c r="O155" s="317"/>
      <c r="P155" s="317"/>
      <c r="Q155"/>
      <c r="R155" s="318" t="s">
        <v>18</v>
      </c>
      <c r="S155" s="319"/>
      <c r="T155" s="319"/>
      <c r="U155" s="319"/>
      <c r="V155" s="319"/>
      <c r="W155" s="319"/>
      <c r="X155" s="319"/>
      <c r="Y155"/>
      <c r="Z155"/>
      <c r="AA155"/>
      <c r="AB155"/>
      <c r="AD155" t="e">
        <f>VLOOKUP(B155,COHVPI!A:N,14,0)</f>
        <v>#N/A</v>
      </c>
      <c r="AE155" s="95" t="e">
        <f>VLOOKUP(B155,COHVPI!A:E,5,0)</f>
        <v>#N/A</v>
      </c>
      <c r="AF155" s="95" t="e">
        <f t="shared" si="10"/>
        <v>#N/A</v>
      </c>
      <c r="AI155"/>
      <c r="AJ155" s="95"/>
    </row>
    <row r="156" spans="1:36" ht="31.5" x14ac:dyDescent="0.25">
      <c r="A156" s="10" t="s">
        <v>489</v>
      </c>
      <c r="B156" s="10" t="s">
        <v>11</v>
      </c>
      <c r="C156" s="10" t="s">
        <v>3</v>
      </c>
      <c r="D156" s="11" t="s">
        <v>4</v>
      </c>
      <c r="E156" s="139" t="s">
        <v>778</v>
      </c>
      <c r="F156" s="139" t="s">
        <v>232</v>
      </c>
      <c r="G156" s="9" t="s">
        <v>2</v>
      </c>
      <c r="H156" s="9" t="s">
        <v>10</v>
      </c>
      <c r="I156" s="20" t="s">
        <v>507</v>
      </c>
      <c r="J156" s="20" t="s">
        <v>506</v>
      </c>
      <c r="K156" s="168" t="s">
        <v>515</v>
      </c>
      <c r="L156" s="168" t="s">
        <v>514</v>
      </c>
      <c r="M156" s="168" t="s">
        <v>513</v>
      </c>
      <c r="N156" s="109" t="s">
        <v>483</v>
      </c>
      <c r="O156" s="165" t="s">
        <v>5</v>
      </c>
      <c r="P156" s="142" t="s">
        <v>821</v>
      </c>
      <c r="Q156" s="166"/>
      <c r="R156" s="18" t="s">
        <v>12</v>
      </c>
      <c r="S156" s="110" t="s">
        <v>13</v>
      </c>
      <c r="T156" s="9" t="s">
        <v>11</v>
      </c>
      <c r="U156" s="141" t="s">
        <v>232</v>
      </c>
      <c r="V156" s="108" t="s">
        <v>484</v>
      </c>
      <c r="W156" s="11" t="s">
        <v>14</v>
      </c>
      <c r="X156" s="11" t="s">
        <v>265</v>
      </c>
      <c r="Z156"/>
      <c r="AA156"/>
      <c r="AB156"/>
      <c r="AD156" t="e">
        <f>VLOOKUP(B156,COHVPI!A:N,14,0)</f>
        <v>#N/A</v>
      </c>
      <c r="AE156" s="95" t="e">
        <f>VLOOKUP(B156,COHVPI!A:E,5,0)</f>
        <v>#N/A</v>
      </c>
      <c r="AF156" s="95" t="e">
        <f t="shared" si="10"/>
        <v>#N/A</v>
      </c>
      <c r="AJ156" s="95"/>
    </row>
    <row r="157" spans="1:36" s="27" customFormat="1" x14ac:dyDescent="0.25">
      <c r="A157" s="78">
        <v>11</v>
      </c>
      <c r="B157" s="98">
        <v>1958931</v>
      </c>
      <c r="C157" s="26" t="s">
        <v>543</v>
      </c>
      <c r="D157" s="26">
        <v>4000</v>
      </c>
      <c r="E157" s="77">
        <f>_xlfn.XLOOKUP(B157,COHVPI!A:A,COHVPI!E:E,0,0,1)</f>
        <v>0</v>
      </c>
      <c r="F157" s="90" t="e">
        <f>_xlfn.XLOOKUP(B157,COHVPI!A:A,COHVPI!F:F)</f>
        <v>#N/A</v>
      </c>
      <c r="G157" s="25">
        <v>467286</v>
      </c>
      <c r="H157" s="111" t="s">
        <v>519</v>
      </c>
      <c r="I157" s="182">
        <v>46153</v>
      </c>
      <c r="J157" s="122">
        <v>46151</v>
      </c>
      <c r="K157" s="72"/>
      <c r="L157" s="72"/>
      <c r="M157" s="72"/>
      <c r="N157" s="106" t="e">
        <f>_xlfn.XLOOKUP('Linhas Rápidas'!B157,COHVPI!A:A,COHVPI!I:I)</f>
        <v>#N/A</v>
      </c>
      <c r="O157" s="118" t="s">
        <v>561</v>
      </c>
      <c r="P157" s="123"/>
      <c r="R157" s="97">
        <v>467279</v>
      </c>
      <c r="S157" s="114" t="s">
        <v>518</v>
      </c>
      <c r="T157" s="25">
        <v>1958940</v>
      </c>
      <c r="U157" s="90">
        <f>_xlfn.XLOOKUP(T157,COHVPI!A:A,COHVPI!F:F)</f>
        <v>0</v>
      </c>
      <c r="V157" s="106">
        <f>_xlfn.XLOOKUP(T157,COHVPI!A:A,COHVPI!I:I)</f>
        <v>46151</v>
      </c>
      <c r="W157" s="102" t="s">
        <v>21</v>
      </c>
      <c r="X157" s="102">
        <v>19214</v>
      </c>
      <c r="Y157" s="67"/>
      <c r="AD157" s="27" t="e">
        <f>VLOOKUP(B157,COHVPI!A:N,14,0)</f>
        <v>#N/A</v>
      </c>
      <c r="AE157" s="67" t="e">
        <f>VLOOKUP(B157,COHVPI!A:E,5,0)</f>
        <v>#N/A</v>
      </c>
      <c r="AF157" s="67" t="e">
        <f t="shared" si="10"/>
        <v>#N/A</v>
      </c>
      <c r="AJ157" s="67"/>
    </row>
    <row r="158" spans="1:36" x14ac:dyDescent="0.25">
      <c r="A158" s="78">
        <v>11</v>
      </c>
      <c r="B158" s="98">
        <v>1958932</v>
      </c>
      <c r="C158" s="26" t="s">
        <v>544</v>
      </c>
      <c r="D158" s="26">
        <v>4000</v>
      </c>
      <c r="E158" s="77">
        <f>_xlfn.XLOOKUP(B158,COHVPI!A:A,COHVPI!E:E,0,0,1)</f>
        <v>0</v>
      </c>
      <c r="F158" s="90" t="e">
        <f>_xlfn.XLOOKUP(B158,COHVPI!A:A,COHVPI!F:F)</f>
        <v>#N/A</v>
      </c>
      <c r="G158" s="25">
        <v>467286</v>
      </c>
      <c r="H158" s="111" t="s">
        <v>519</v>
      </c>
      <c r="I158" s="182">
        <v>46154</v>
      </c>
      <c r="J158" s="122">
        <v>46153</v>
      </c>
      <c r="K158" s="72"/>
      <c r="L158" s="72"/>
      <c r="M158" s="72"/>
      <c r="N158" s="106" t="e">
        <f>_xlfn.XLOOKUP('Linhas Rápidas'!B158,COHVPI!A:A,COHVPI!I:I)</f>
        <v>#N/A</v>
      </c>
      <c r="O158" s="118" t="s">
        <v>561</v>
      </c>
      <c r="P158" s="123"/>
      <c r="R158" s="97">
        <v>467279</v>
      </c>
      <c r="S158" s="114" t="s">
        <v>518</v>
      </c>
      <c r="T158" s="25">
        <v>1958941</v>
      </c>
      <c r="U158" s="90">
        <f>_xlfn.XLOOKUP(T158,COHVPI!A:A,COHVPI!F:F)</f>
        <v>0</v>
      </c>
      <c r="V158" s="106">
        <f>_xlfn.XLOOKUP(T158,COHVPI!A:A,COHVPI!I:I)</f>
        <v>46153</v>
      </c>
      <c r="W158" s="102" t="s">
        <v>21</v>
      </c>
      <c r="X158" s="102">
        <v>19214</v>
      </c>
      <c r="Y158" s="95"/>
      <c r="Z158"/>
      <c r="AA158"/>
      <c r="AB158"/>
      <c r="AD158" t="e">
        <f>VLOOKUP(B158,COHVPI!A:N,14,0)</f>
        <v>#N/A</v>
      </c>
      <c r="AE158" s="95" t="e">
        <f>VLOOKUP(B158,COHVPI!A:E,5,0)</f>
        <v>#N/A</v>
      </c>
      <c r="AF158" s="95" t="e">
        <f t="shared" si="10"/>
        <v>#N/A</v>
      </c>
      <c r="AJ158" s="95"/>
    </row>
    <row r="159" spans="1:36" ht="17.25" customHeight="1" x14ac:dyDescent="0.25">
      <c r="A159" s="199"/>
      <c r="B159" s="199"/>
      <c r="C159" s="200"/>
      <c r="D159" s="201"/>
      <c r="E159" s="201"/>
      <c r="F159" s="201"/>
      <c r="G159" s="202"/>
      <c r="H159" s="203" t="s">
        <v>785</v>
      </c>
      <c r="I159" s="204"/>
      <c r="J159" s="204"/>
      <c r="K159" s="204"/>
      <c r="L159" s="204"/>
      <c r="M159" s="204"/>
      <c r="N159" s="205"/>
      <c r="O159" s="206"/>
      <c r="P159" s="204"/>
      <c r="R159" s="279" t="s">
        <v>785</v>
      </c>
      <c r="S159" s="280"/>
      <c r="T159" s="280"/>
      <c r="U159" s="280"/>
      <c r="V159" s="280"/>
      <c r="W159" s="280"/>
      <c r="X159" s="280"/>
      <c r="Z159"/>
      <c r="AA159"/>
      <c r="AB159"/>
      <c r="AD159" t="e">
        <f>VLOOKUP(B159,COHVPI!A:N,14,0)</f>
        <v>#N/A</v>
      </c>
      <c r="AE159" s="95" t="e">
        <f>VLOOKUP(B159,COHVPI!A:E,5,0)</f>
        <v>#N/A</v>
      </c>
      <c r="AF159" s="95" t="e">
        <f t="shared" si="10"/>
        <v>#N/A</v>
      </c>
      <c r="AJ159" s="95"/>
    </row>
    <row r="160" spans="1:36" hidden="1" x14ac:dyDescent="0.25">
      <c r="A160" s="193">
        <v>11</v>
      </c>
      <c r="B160" s="174">
        <v>1961650</v>
      </c>
      <c r="C160" s="131" t="s">
        <v>766</v>
      </c>
      <c r="D160" s="131">
        <v>4000</v>
      </c>
      <c r="E160" s="130"/>
      <c r="F160" s="130"/>
      <c r="G160" s="194">
        <v>467286</v>
      </c>
      <c r="H160" s="175" t="s">
        <v>519</v>
      </c>
      <c r="I160" s="195"/>
      <c r="J160" s="132">
        <v>46165</v>
      </c>
      <c r="K160" s="134"/>
      <c r="L160" s="134"/>
      <c r="M160" s="134"/>
      <c r="N160" s="135" t="e">
        <f>_xlfn.XLOOKUP('Linhas Rápidas'!B160,COHVPI!A:A,COHVPI!I:I)</f>
        <v>#N/A</v>
      </c>
      <c r="O160" s="232" t="s">
        <v>792</v>
      </c>
      <c r="P160" s="123"/>
      <c r="R160" s="97" t="s">
        <v>599</v>
      </c>
      <c r="S160" s="114" t="s">
        <v>600</v>
      </c>
      <c r="T160" s="25">
        <v>1961460</v>
      </c>
      <c r="U160" s="90">
        <f>_xlfn.XLOOKUP(T160,COHVPI!A:A,COHVPI!F:F)</f>
        <v>0</v>
      </c>
      <c r="V160" s="106">
        <f>_xlfn.XLOOKUP(T160,COHVPI!A:A,COHVPI!I:I)</f>
        <v>46170</v>
      </c>
      <c r="W160" s="102">
        <f>X160/24</f>
        <v>800.58333333333337</v>
      </c>
      <c r="X160" s="102">
        <v>19214</v>
      </c>
      <c r="Y160" s="95"/>
      <c r="Z160"/>
      <c r="AA160"/>
      <c r="AB160"/>
      <c r="AD160" t="e">
        <f>VLOOKUP(B160,COHVPI!A:N,14,0)</f>
        <v>#N/A</v>
      </c>
      <c r="AE160" s="95" t="e">
        <f>VLOOKUP(B160,COHVPI!A:E,5,0)</f>
        <v>#N/A</v>
      </c>
      <c r="AF160" s="95" t="e">
        <f t="shared" si="10"/>
        <v>#N/A</v>
      </c>
      <c r="AJ160" s="95"/>
    </row>
    <row r="161" spans="1:36" hidden="1" x14ac:dyDescent="0.25">
      <c r="A161" s="78">
        <v>11</v>
      </c>
      <c r="B161" s="98">
        <v>1961649</v>
      </c>
      <c r="C161" s="26" t="s">
        <v>767</v>
      </c>
      <c r="D161" s="26">
        <v>4000</v>
      </c>
      <c r="E161" s="90"/>
      <c r="F161" s="90"/>
      <c r="G161" s="25">
        <v>467285</v>
      </c>
      <c r="H161" s="111" t="s">
        <v>539</v>
      </c>
      <c r="I161" s="182"/>
      <c r="J161" s="122">
        <v>46167</v>
      </c>
      <c r="K161" s="72"/>
      <c r="L161" s="72"/>
      <c r="M161" s="72"/>
      <c r="N161" s="106" t="e">
        <f>_xlfn.XLOOKUP('Linhas Rápidas'!B161,COHVPI!A:A,COHVPI!I:I)</f>
        <v>#N/A</v>
      </c>
      <c r="O161" s="118" t="s">
        <v>21</v>
      </c>
      <c r="P161" s="123"/>
      <c r="R161" s="97" t="s">
        <v>601</v>
      </c>
      <c r="S161" s="114" t="s">
        <v>602</v>
      </c>
      <c r="T161" s="25">
        <v>1961463</v>
      </c>
      <c r="U161" s="90">
        <f>_xlfn.XLOOKUP(T161,COHVPI!A:A,COHVPI!F:F)</f>
        <v>0</v>
      </c>
      <c r="V161" s="106">
        <f>_xlfn.XLOOKUP(T161,COHVPI!A:A,COHVPI!I:I)</f>
        <v>46171</v>
      </c>
      <c r="W161" s="102">
        <f t="shared" ref="W161:W162" si="11">X161/24</f>
        <v>800.58333333333337</v>
      </c>
      <c r="X161" s="102">
        <v>19214</v>
      </c>
      <c r="Y161" s="95"/>
      <c r="Z161"/>
      <c r="AA161"/>
      <c r="AB161"/>
      <c r="AD161" t="e">
        <f>VLOOKUP(B161,COHVPI!A:N,14,0)</f>
        <v>#N/A</v>
      </c>
      <c r="AE161" s="95" t="e">
        <f>VLOOKUP(B161,COHVPI!A:E,5,0)</f>
        <v>#N/A</v>
      </c>
      <c r="AF161" s="95" t="e">
        <f t="shared" si="10"/>
        <v>#N/A</v>
      </c>
      <c r="AJ161" s="95"/>
    </row>
    <row r="162" spans="1:36" s="35" customFormat="1" hidden="1" x14ac:dyDescent="0.25">
      <c r="A162" s="193">
        <v>11</v>
      </c>
      <c r="B162" s="174">
        <v>1961651</v>
      </c>
      <c r="C162" s="131" t="s">
        <v>768</v>
      </c>
      <c r="D162" s="131">
        <v>4000</v>
      </c>
      <c r="E162" s="130"/>
      <c r="F162" s="130"/>
      <c r="G162" s="194">
        <v>467287</v>
      </c>
      <c r="H162" s="175" t="s">
        <v>653</v>
      </c>
      <c r="I162" s="195"/>
      <c r="J162" s="132">
        <v>46168</v>
      </c>
      <c r="K162" s="134"/>
      <c r="L162" s="134"/>
      <c r="M162" s="134"/>
      <c r="N162" s="135" t="e">
        <f>_xlfn.XLOOKUP('Linhas Rápidas'!B162,COHVPI!A:A,COHVPI!I:I)</f>
        <v>#N/A</v>
      </c>
      <c r="O162" s="196" t="s">
        <v>787</v>
      </c>
      <c r="P162" s="230"/>
      <c r="R162" s="228" t="s">
        <v>526</v>
      </c>
      <c r="S162" s="227" t="s">
        <v>527</v>
      </c>
      <c r="T162" s="194">
        <v>1961467</v>
      </c>
      <c r="U162" s="130">
        <f>_xlfn.XLOOKUP(T162,COHVPI!A:A,COHVPI!F:F)</f>
        <v>0</v>
      </c>
      <c r="V162" s="135">
        <f>_xlfn.XLOOKUP(T162,COHVPI!A:A,COHVPI!I:I)</f>
        <v>46172</v>
      </c>
      <c r="W162" s="229">
        <f t="shared" si="11"/>
        <v>800.58333333333337</v>
      </c>
      <c r="X162" s="229">
        <v>19214</v>
      </c>
      <c r="Y162" s="173"/>
      <c r="AD162" s="35" t="e">
        <f>VLOOKUP(B162,COHVPI!A:N,14,0)</f>
        <v>#N/A</v>
      </c>
      <c r="AE162" s="173" t="e">
        <f>VLOOKUP(B162,COHVPI!A:E,5,0)</f>
        <v>#N/A</v>
      </c>
      <c r="AF162" s="173" t="e">
        <f t="shared" si="10"/>
        <v>#N/A</v>
      </c>
      <c r="AJ162" s="173"/>
    </row>
    <row r="163" spans="1:36" s="28" customFormat="1" ht="16.5" thickBot="1" x14ac:dyDescent="0.3">
      <c r="A163" s="89"/>
      <c r="B163" s="13"/>
      <c r="C163" s="43"/>
      <c r="D163" s="45"/>
      <c r="E163" s="45"/>
      <c r="F163" s="45"/>
      <c r="G163" s="36"/>
      <c r="H163" s="50"/>
      <c r="I163" s="37"/>
      <c r="J163" s="37"/>
      <c r="K163" s="38"/>
      <c r="L163" s="38"/>
      <c r="M163" s="38"/>
      <c r="N163" s="38"/>
      <c r="O163" s="160"/>
      <c r="P163" s="42"/>
      <c r="Q163"/>
      <c r="R163" s="34"/>
      <c r="S163" s="39"/>
      <c r="T163" s="39"/>
      <c r="U163" s="40"/>
      <c r="V163" s="41"/>
      <c r="W163" s="40"/>
      <c r="X163" s="41"/>
      <c r="Y163"/>
      <c r="Z163"/>
      <c r="AA163"/>
      <c r="AB163"/>
      <c r="AD163" t="e">
        <f>VLOOKUP(B163,COHVPI!A:N,14,0)</f>
        <v>#N/A</v>
      </c>
      <c r="AE163" s="95" t="e">
        <f>VLOOKUP(B163,COHVPI!A:E,5,0)</f>
        <v>#N/A</v>
      </c>
      <c r="AF163" s="95" t="e">
        <f t="shared" si="10"/>
        <v>#N/A</v>
      </c>
      <c r="AI163"/>
      <c r="AJ163" s="95"/>
    </row>
    <row r="164" spans="1:36" ht="15.75" customHeight="1" thickBot="1" x14ac:dyDescent="0.3">
      <c r="A164" s="31"/>
      <c r="B164" s="31"/>
      <c r="C164" s="31"/>
      <c r="D164" s="32"/>
      <c r="E164" s="32"/>
      <c r="F164" s="32"/>
      <c r="G164" s="32"/>
      <c r="H164" s="19"/>
      <c r="I164" s="32"/>
      <c r="J164"/>
      <c r="K164"/>
      <c r="L164"/>
      <c r="M164"/>
      <c r="N164" s="32"/>
      <c r="O164" s="148"/>
      <c r="T164" s="6"/>
      <c r="U164" s="6"/>
      <c r="V164" s="6"/>
      <c r="W164" s="6"/>
      <c r="X164" s="6"/>
      <c r="Z164"/>
      <c r="AA164"/>
      <c r="AB164"/>
      <c r="AD164" t="e">
        <f>VLOOKUP(B164,COHVPI!A:N,14,0)</f>
        <v>#N/A</v>
      </c>
      <c r="AE164" s="95" t="e">
        <f>VLOOKUP(B164,COHVPI!A:E,5,0)</f>
        <v>#N/A</v>
      </c>
      <c r="AF164" s="95" t="e">
        <f t="shared" si="10"/>
        <v>#N/A</v>
      </c>
      <c r="AJ164" s="95"/>
    </row>
    <row r="165" spans="1:36" ht="27" customHeight="1" thickBot="1" x14ac:dyDescent="0.3">
      <c r="A165" s="317" t="s">
        <v>19</v>
      </c>
      <c r="B165" s="317"/>
      <c r="C165" s="317"/>
      <c r="D165" s="317"/>
      <c r="E165" s="317"/>
      <c r="F165" s="317"/>
      <c r="G165" s="317"/>
      <c r="H165" s="317"/>
      <c r="I165" s="317"/>
      <c r="J165" s="317"/>
      <c r="K165" s="317"/>
      <c r="L165" s="317"/>
      <c r="M165" s="317"/>
      <c r="N165" s="317"/>
      <c r="O165" s="317"/>
      <c r="P165" s="317"/>
      <c r="R165" s="318" t="s">
        <v>19</v>
      </c>
      <c r="S165" s="319"/>
      <c r="T165" s="319"/>
      <c r="U165" s="319"/>
      <c r="V165" s="319"/>
      <c r="W165" s="319"/>
      <c r="X165" s="319"/>
      <c r="Z165"/>
      <c r="AA165"/>
      <c r="AB165"/>
      <c r="AD165" t="e">
        <f>VLOOKUP(B165,COHVPI!A:N,14,0)</f>
        <v>#N/A</v>
      </c>
      <c r="AE165" s="95" t="e">
        <f>VLOOKUP(B165,COHVPI!A:E,5,0)</f>
        <v>#N/A</v>
      </c>
      <c r="AF165" s="95" t="e">
        <f t="shared" si="10"/>
        <v>#N/A</v>
      </c>
      <c r="AJ165" s="95"/>
    </row>
    <row r="166" spans="1:36" ht="31.5" x14ac:dyDescent="0.25">
      <c r="A166" s="10" t="s">
        <v>489</v>
      </c>
      <c r="B166" s="10" t="s">
        <v>11</v>
      </c>
      <c r="C166" s="10" t="s">
        <v>3</v>
      </c>
      <c r="D166" s="11" t="s">
        <v>4</v>
      </c>
      <c r="E166" s="139" t="s">
        <v>778</v>
      </c>
      <c r="F166" s="139" t="s">
        <v>232</v>
      </c>
      <c r="G166" s="9" t="s">
        <v>2</v>
      </c>
      <c r="H166" s="9" t="s">
        <v>10</v>
      </c>
      <c r="I166" s="20" t="s">
        <v>507</v>
      </c>
      <c r="J166" s="20" t="s">
        <v>506</v>
      </c>
      <c r="K166" s="168" t="s">
        <v>515</v>
      </c>
      <c r="L166" s="168" t="s">
        <v>514</v>
      </c>
      <c r="M166" s="168" t="s">
        <v>513</v>
      </c>
      <c r="N166" s="109" t="s">
        <v>483</v>
      </c>
      <c r="O166" s="165" t="s">
        <v>5</v>
      </c>
      <c r="P166" s="142" t="s">
        <v>821</v>
      </c>
      <c r="Q166" s="166"/>
      <c r="R166" s="18" t="s">
        <v>12</v>
      </c>
      <c r="S166" s="110" t="s">
        <v>13</v>
      </c>
      <c r="T166" s="9" t="s">
        <v>11</v>
      </c>
      <c r="U166" s="141" t="s">
        <v>232</v>
      </c>
      <c r="V166" s="108" t="s">
        <v>484</v>
      </c>
      <c r="W166" s="11" t="s">
        <v>14</v>
      </c>
      <c r="X166" s="11" t="s">
        <v>265</v>
      </c>
      <c r="Z166"/>
      <c r="AA166"/>
      <c r="AB166"/>
      <c r="AD166" t="e">
        <f>VLOOKUP(B166,COHVPI!A:N,14,0)</f>
        <v>#N/A</v>
      </c>
      <c r="AE166" s="95" t="e">
        <f>VLOOKUP(B166,COHVPI!A:E,5,0)</f>
        <v>#N/A</v>
      </c>
      <c r="AF166" s="95" t="e">
        <f t="shared" si="10"/>
        <v>#N/A</v>
      </c>
      <c r="AJ166" s="95"/>
    </row>
    <row r="167" spans="1:36" x14ac:dyDescent="0.25">
      <c r="A167" s="78">
        <v>6</v>
      </c>
      <c r="B167" s="98">
        <v>1961473</v>
      </c>
      <c r="C167" s="26" t="s">
        <v>769</v>
      </c>
      <c r="D167" s="26">
        <v>9500</v>
      </c>
      <c r="E167" s="77">
        <f>_xlfn.XLOOKUP(B167,COHVPI!A:A,COHVPI!E:E,0,0,1)</f>
        <v>0</v>
      </c>
      <c r="F167" s="90" t="e">
        <f>_xlfn.XLOOKUP(B167,COHVPI!A:A,COHVPI!F:F)</f>
        <v>#N/A</v>
      </c>
      <c r="G167" s="25">
        <v>424825</v>
      </c>
      <c r="H167" s="111" t="s">
        <v>540</v>
      </c>
      <c r="I167" s="182">
        <v>46150</v>
      </c>
      <c r="J167" s="122">
        <v>46149</v>
      </c>
      <c r="K167" s="72"/>
      <c r="L167" s="72"/>
      <c r="M167" s="72"/>
      <c r="N167" s="106" t="e">
        <f>_xlfn.XLOOKUP('Linhas Rápidas'!B167,COHVPI!A:A,COHVPI!I:I)</f>
        <v>#N/A</v>
      </c>
      <c r="O167" s="118" t="s">
        <v>21</v>
      </c>
      <c r="P167" s="123"/>
      <c r="R167" s="97" t="s">
        <v>476</v>
      </c>
      <c r="S167" s="114" t="s">
        <v>167</v>
      </c>
      <c r="T167" s="25">
        <v>1961368</v>
      </c>
      <c r="U167" s="90">
        <f>_xlfn.XLOOKUP(T167,COHVPI!A:A,COHVPI!F:F)</f>
        <v>774</v>
      </c>
      <c r="V167" s="106" t="e">
        <v>#N/A</v>
      </c>
      <c r="W167" s="102">
        <f t="shared" ref="W167" si="12">X167/24</f>
        <v>2128</v>
      </c>
      <c r="X167" s="102">
        <v>51072</v>
      </c>
      <c r="Z167"/>
      <c r="AA167"/>
      <c r="AB167"/>
      <c r="AD167" t="e">
        <f>VLOOKUP(B167,COHVPI!A:N,14,0)</f>
        <v>#N/A</v>
      </c>
      <c r="AE167" s="95" t="e">
        <f>VLOOKUP(B167,COHVPI!A:E,5,0)</f>
        <v>#N/A</v>
      </c>
      <c r="AF167" s="95" t="e">
        <f t="shared" si="10"/>
        <v>#N/A</v>
      </c>
      <c r="AJ167" s="95"/>
    </row>
    <row r="168" spans="1:36" ht="17.25" customHeight="1" x14ac:dyDescent="0.25">
      <c r="A168" s="199"/>
      <c r="B168" s="199"/>
      <c r="C168" s="200"/>
      <c r="D168" s="201"/>
      <c r="E168" s="201"/>
      <c r="F168" s="201"/>
      <c r="G168" s="202"/>
      <c r="H168" s="203" t="s">
        <v>564</v>
      </c>
      <c r="I168" s="204"/>
      <c r="J168" s="204"/>
      <c r="K168" s="204"/>
      <c r="L168" s="204"/>
      <c r="M168" s="204"/>
      <c r="N168" s="205"/>
      <c r="O168" s="206"/>
      <c r="P168" s="204"/>
      <c r="R168" s="279" t="s">
        <v>564</v>
      </c>
      <c r="S168" s="280"/>
      <c r="T168" s="280"/>
      <c r="U168" s="280"/>
      <c r="V168" s="280"/>
      <c r="W168" s="280"/>
      <c r="X168" s="280"/>
      <c r="Z168"/>
      <c r="AA168"/>
      <c r="AB168"/>
      <c r="AD168" t="e">
        <f>VLOOKUP(B168,COHVPI!A:N,14,0)</f>
        <v>#N/A</v>
      </c>
      <c r="AE168" s="95" t="e">
        <f>VLOOKUP(B168,COHVPI!A:E,5,0)</f>
        <v>#N/A</v>
      </c>
      <c r="AF168" s="95" t="e">
        <f t="shared" si="10"/>
        <v>#N/A</v>
      </c>
      <c r="AJ168" s="95"/>
    </row>
    <row r="169" spans="1:36" ht="19.5" customHeight="1" thickBot="1" x14ac:dyDescent="0.3">
      <c r="A169" s="89"/>
      <c r="B169" s="13"/>
      <c r="C169" s="43"/>
      <c r="D169" s="45"/>
      <c r="E169" s="45"/>
      <c r="F169" s="45"/>
      <c r="G169" s="46"/>
      <c r="H169" s="50"/>
      <c r="I169" s="47"/>
      <c r="J169" s="47"/>
      <c r="K169" s="52"/>
      <c r="L169" s="52"/>
      <c r="M169" s="52"/>
      <c r="N169" s="48"/>
      <c r="O169" s="155"/>
      <c r="P169" s="117"/>
      <c r="R169" s="49"/>
      <c r="S169" s="50"/>
      <c r="T169" s="44"/>
      <c r="U169" s="45"/>
      <c r="V169" s="51"/>
      <c r="W169" s="45"/>
      <c r="X169" s="51"/>
      <c r="Z169"/>
      <c r="AA169"/>
      <c r="AB169"/>
      <c r="AD169" t="e">
        <f>VLOOKUP(B169,COHVPI!A:N,14,0)</f>
        <v>#N/A</v>
      </c>
      <c r="AE169" s="95" t="e">
        <f>VLOOKUP(B169,COHVPI!A:E,5,0)</f>
        <v>#N/A</v>
      </c>
      <c r="AF169" s="95" t="e">
        <f t="shared" si="10"/>
        <v>#N/A</v>
      </c>
      <c r="AJ169" s="95"/>
    </row>
    <row r="170" spans="1:36" ht="15.75" customHeight="1" thickBot="1" x14ac:dyDescent="0.3">
      <c r="A170" s="24"/>
      <c r="B170" s="24"/>
      <c r="C170" s="24"/>
      <c r="D170" s="24"/>
      <c r="E170" s="24"/>
      <c r="F170" s="24"/>
      <c r="G170" s="24"/>
      <c r="H170" s="19"/>
      <c r="I170" s="16"/>
      <c r="J170"/>
      <c r="K170"/>
      <c r="L170"/>
      <c r="M170"/>
      <c r="N170" s="24"/>
      <c r="P170" s="23"/>
      <c r="R170" s="23"/>
      <c r="S170" s="23"/>
      <c r="T170" s="23"/>
      <c r="U170" s="7"/>
      <c r="V170" s="7"/>
      <c r="W170" s="7"/>
      <c r="X170" s="7"/>
      <c r="Z170"/>
      <c r="AA170"/>
      <c r="AB170"/>
      <c r="AD170" t="e">
        <f>VLOOKUP(B170,COHVPI!A:N,14,0)</f>
        <v>#N/A</v>
      </c>
      <c r="AE170" s="95" t="e">
        <f>VLOOKUP(B170,COHVPI!A:E,5,0)</f>
        <v>#N/A</v>
      </c>
      <c r="AF170" s="95" t="e">
        <f t="shared" si="10"/>
        <v>#N/A</v>
      </c>
      <c r="AJ170" s="95"/>
    </row>
    <row r="171" spans="1:36" ht="27" customHeight="1" thickBot="1" x14ac:dyDescent="0.3">
      <c r="A171" s="317" t="s">
        <v>20</v>
      </c>
      <c r="B171" s="317"/>
      <c r="C171" s="317"/>
      <c r="D171" s="317"/>
      <c r="E171" s="317"/>
      <c r="F171" s="317"/>
      <c r="G171" s="317"/>
      <c r="H171" s="317"/>
      <c r="I171" s="317"/>
      <c r="J171" s="317"/>
      <c r="K171" s="317"/>
      <c r="L171" s="317"/>
      <c r="M171" s="317"/>
      <c r="N171" s="317"/>
      <c r="O171" s="317"/>
      <c r="P171" s="317"/>
      <c r="R171" s="321" t="s">
        <v>20</v>
      </c>
      <c r="S171" s="322"/>
      <c r="T171" s="322"/>
      <c r="U171" s="322"/>
      <c r="V171" s="322"/>
      <c r="W171" s="322"/>
      <c r="X171" s="322"/>
      <c r="Z171"/>
      <c r="AA171"/>
      <c r="AB171"/>
      <c r="AD171" t="e">
        <f>VLOOKUP(B171,COHVPI!A:N,14,0)</f>
        <v>#N/A</v>
      </c>
      <c r="AE171" s="95" t="e">
        <f>VLOOKUP(B171,COHVPI!A:E,5,0)</f>
        <v>#N/A</v>
      </c>
      <c r="AF171" s="95" t="e">
        <f t="shared" si="10"/>
        <v>#N/A</v>
      </c>
      <c r="AJ171" s="95"/>
    </row>
    <row r="172" spans="1:36" ht="31.5" x14ac:dyDescent="0.25">
      <c r="A172" s="10" t="s">
        <v>489</v>
      </c>
      <c r="B172" s="10" t="s">
        <v>11</v>
      </c>
      <c r="C172" s="10" t="s">
        <v>3</v>
      </c>
      <c r="D172" s="11" t="s">
        <v>4</v>
      </c>
      <c r="E172" s="139" t="s">
        <v>778</v>
      </c>
      <c r="F172" s="139" t="s">
        <v>232</v>
      </c>
      <c r="G172" s="9" t="s">
        <v>2</v>
      </c>
      <c r="H172" s="9" t="s">
        <v>10</v>
      </c>
      <c r="I172" s="20" t="s">
        <v>507</v>
      </c>
      <c r="J172" s="20" t="s">
        <v>506</v>
      </c>
      <c r="K172" s="168" t="s">
        <v>515</v>
      </c>
      <c r="L172" s="168" t="s">
        <v>514</v>
      </c>
      <c r="M172" s="168" t="s">
        <v>513</v>
      </c>
      <c r="N172" s="109" t="s">
        <v>483</v>
      </c>
      <c r="O172" s="165" t="s">
        <v>5</v>
      </c>
      <c r="P172" s="142" t="s">
        <v>821</v>
      </c>
      <c r="Q172" s="166"/>
      <c r="R172" s="18" t="s">
        <v>12</v>
      </c>
      <c r="S172" s="110" t="s">
        <v>13</v>
      </c>
      <c r="T172" s="9" t="s">
        <v>11</v>
      </c>
      <c r="U172" s="141" t="s">
        <v>232</v>
      </c>
      <c r="V172" s="108" t="s">
        <v>484</v>
      </c>
      <c r="W172" s="11" t="s">
        <v>14</v>
      </c>
      <c r="X172" s="11" t="s">
        <v>265</v>
      </c>
      <c r="Z172"/>
      <c r="AA172"/>
      <c r="AB172"/>
      <c r="AD172" t="e">
        <f>VLOOKUP(B172,COHVPI!A:N,14,0)</f>
        <v>#N/A</v>
      </c>
      <c r="AE172" s="95" t="e">
        <f>VLOOKUP(B172,COHVPI!A:E,5,0)</f>
        <v>#N/A</v>
      </c>
      <c r="AF172" s="95" t="e">
        <f t="shared" si="10"/>
        <v>#N/A</v>
      </c>
      <c r="AJ172" s="95"/>
    </row>
    <row r="173" spans="1:36" x14ac:dyDescent="0.25">
      <c r="A173" s="78">
        <v>11</v>
      </c>
      <c r="B173" s="98">
        <v>1961482</v>
      </c>
      <c r="C173" s="26" t="s">
        <v>771</v>
      </c>
      <c r="D173" s="26">
        <v>4500</v>
      </c>
      <c r="E173" s="90"/>
      <c r="F173" s="90"/>
      <c r="G173" s="25">
        <v>441430</v>
      </c>
      <c r="H173" s="111" t="s">
        <v>654</v>
      </c>
      <c r="I173" s="182">
        <v>46155</v>
      </c>
      <c r="J173" s="122">
        <v>46155</v>
      </c>
      <c r="K173" s="72"/>
      <c r="L173" s="72"/>
      <c r="M173" s="72"/>
      <c r="N173" s="106" t="e">
        <f>_xlfn.XLOOKUP('Linhas Rápidas'!B173,COHVPI!A:A,COHVPI!I:I)</f>
        <v>#N/A</v>
      </c>
      <c r="O173" s="118" t="s">
        <v>21</v>
      </c>
      <c r="P173" s="257" t="s">
        <v>820</v>
      </c>
      <c r="R173" s="97" t="s">
        <v>92</v>
      </c>
      <c r="S173" s="114" t="s">
        <v>93</v>
      </c>
      <c r="T173" s="25">
        <v>1961370</v>
      </c>
      <c r="U173" s="90" t="e">
        <f>_xlfn.XLOOKUP(T173,COHVPI!A:A,COHVPI!F:F)</f>
        <v>#N/A</v>
      </c>
      <c r="V173" s="106" t="e">
        <f>_xlfn.XLOOKUP(T173,COHVPI!A:A,COHVPI!I:I)</f>
        <v>#N/A</v>
      </c>
      <c r="W173" s="102">
        <f t="shared" ref="W173:W175" si="13">X173/12</f>
        <v>4518</v>
      </c>
      <c r="X173" s="102">
        <v>54216</v>
      </c>
      <c r="Y173" s="95"/>
      <c r="Z173"/>
      <c r="AA173"/>
      <c r="AB173"/>
      <c r="AD173" t="e">
        <f>VLOOKUP(B173,COHVPI!A:N,14,0)</f>
        <v>#N/A</v>
      </c>
      <c r="AE173" s="95" t="e">
        <f>VLOOKUP(B173,COHVPI!A:E,5,0)</f>
        <v>#N/A</v>
      </c>
      <c r="AF173" s="95" t="e">
        <f t="shared" si="10"/>
        <v>#N/A</v>
      </c>
      <c r="AJ173" s="95"/>
    </row>
    <row r="174" spans="1:36" x14ac:dyDescent="0.25">
      <c r="A174" s="78">
        <v>11</v>
      </c>
      <c r="B174" s="98">
        <v>1961483</v>
      </c>
      <c r="C174" s="26" t="s">
        <v>772</v>
      </c>
      <c r="D174" s="26">
        <v>4500</v>
      </c>
      <c r="E174" s="90"/>
      <c r="F174" s="90"/>
      <c r="G174" s="25">
        <v>441430</v>
      </c>
      <c r="H174" s="111" t="s">
        <v>654</v>
      </c>
      <c r="I174" s="182">
        <v>46156</v>
      </c>
      <c r="J174" s="122">
        <v>46156</v>
      </c>
      <c r="K174" s="72"/>
      <c r="L174" s="72"/>
      <c r="M174" s="72"/>
      <c r="N174" s="106" t="e">
        <f>_xlfn.XLOOKUP('Linhas Rápidas'!B174,COHVPI!A:A,COHVPI!I:I)</f>
        <v>#N/A</v>
      </c>
      <c r="O174" s="118" t="s">
        <v>21</v>
      </c>
      <c r="P174" s="257" t="s">
        <v>820</v>
      </c>
      <c r="R174" s="97" t="s">
        <v>92</v>
      </c>
      <c r="S174" s="114" t="s">
        <v>93</v>
      </c>
      <c r="T174" s="25">
        <v>1961371</v>
      </c>
      <c r="U174" s="90" t="e">
        <f>_xlfn.XLOOKUP(T174,COHVPI!A:A,COHVPI!F:F)</f>
        <v>#N/A</v>
      </c>
      <c r="V174" s="106" t="e">
        <f>_xlfn.XLOOKUP(T174,COHVPI!A:A,COHVPI!I:I)</f>
        <v>#N/A</v>
      </c>
      <c r="W174" s="102">
        <f t="shared" si="13"/>
        <v>4518</v>
      </c>
      <c r="X174" s="102">
        <v>54216</v>
      </c>
      <c r="Y174" s="95"/>
      <c r="Z174"/>
      <c r="AA174"/>
      <c r="AB174"/>
      <c r="AD174" t="e">
        <f>VLOOKUP(B174,COHVPI!A:N,14,0)</f>
        <v>#N/A</v>
      </c>
      <c r="AE174" s="95" t="e">
        <f>VLOOKUP(B174,COHVPI!A:E,5,0)</f>
        <v>#N/A</v>
      </c>
      <c r="AF174" s="95" t="e">
        <f t="shared" si="10"/>
        <v>#N/A</v>
      </c>
      <c r="AJ174" s="95"/>
    </row>
    <row r="175" spans="1:36" x14ac:dyDescent="0.25">
      <c r="A175" s="78">
        <v>11</v>
      </c>
      <c r="B175" s="98">
        <v>1961474</v>
      </c>
      <c r="C175" s="26" t="s">
        <v>773</v>
      </c>
      <c r="D175" s="26">
        <v>4500</v>
      </c>
      <c r="E175" s="90"/>
      <c r="F175" s="90"/>
      <c r="G175" s="25">
        <v>441420</v>
      </c>
      <c r="H175" s="111" t="s">
        <v>656</v>
      </c>
      <c r="I175" s="182">
        <v>46157</v>
      </c>
      <c r="J175" s="122">
        <v>46157</v>
      </c>
      <c r="K175" s="72"/>
      <c r="L175" s="72"/>
      <c r="M175" s="72"/>
      <c r="N175" s="106" t="e">
        <f>_xlfn.XLOOKUP('Linhas Rápidas'!B175,COHVPI!A:A,COHVPI!I:I)</f>
        <v>#N/A</v>
      </c>
      <c r="O175" s="118" t="s">
        <v>21</v>
      </c>
      <c r="P175" s="257" t="s">
        <v>820</v>
      </c>
      <c r="R175" s="97" t="s">
        <v>214</v>
      </c>
      <c r="S175" s="114" t="s">
        <v>215</v>
      </c>
      <c r="T175" s="25">
        <v>1961375</v>
      </c>
      <c r="U175" s="90" t="e">
        <f>_xlfn.XLOOKUP(T175,COHVPI!A:A,COHVPI!F:F)</f>
        <v>#N/A</v>
      </c>
      <c r="V175" s="106" t="e">
        <f>_xlfn.XLOOKUP(T175,COHVPI!A:A,COHVPI!I:I)</f>
        <v>#N/A</v>
      </c>
      <c r="W175" s="102">
        <f t="shared" si="13"/>
        <v>4731</v>
      </c>
      <c r="X175" s="102">
        <v>56772</v>
      </c>
      <c r="Y175" s="95"/>
      <c r="Z175"/>
      <c r="AA175"/>
      <c r="AB175"/>
      <c r="AD175" t="e">
        <f>VLOOKUP(B175,COHVPI!A:N,14,0)</f>
        <v>#N/A</v>
      </c>
      <c r="AE175" s="95" t="e">
        <f>VLOOKUP(B175,COHVPI!A:E,5,0)</f>
        <v>#N/A</v>
      </c>
      <c r="AF175" s="95" t="e">
        <f t="shared" si="10"/>
        <v>#N/A</v>
      </c>
      <c r="AJ175" s="95"/>
    </row>
    <row r="176" spans="1:36" ht="16.5" customHeight="1" x14ac:dyDescent="0.25">
      <c r="A176" s="78">
        <v>11</v>
      </c>
      <c r="B176" s="98">
        <v>1961481</v>
      </c>
      <c r="C176" s="26" t="s">
        <v>770</v>
      </c>
      <c r="D176" s="26">
        <v>4500</v>
      </c>
      <c r="E176" s="90"/>
      <c r="F176" s="90"/>
      <c r="G176" s="25">
        <v>441428</v>
      </c>
      <c r="H176" s="111" t="s">
        <v>655</v>
      </c>
      <c r="I176" s="182">
        <v>46158</v>
      </c>
      <c r="J176" s="122">
        <v>46158</v>
      </c>
      <c r="K176" s="72"/>
      <c r="L176" s="72"/>
      <c r="M176" s="72"/>
      <c r="N176" s="106" t="e">
        <f>_xlfn.XLOOKUP('Linhas Rápidas'!B176,COHVPI!A:A,COHVPI!I:I)</f>
        <v>#N/A</v>
      </c>
      <c r="O176" s="118" t="s">
        <v>21</v>
      </c>
      <c r="P176" s="257" t="s">
        <v>829</v>
      </c>
      <c r="R176" s="97" t="s">
        <v>62</v>
      </c>
      <c r="S176" s="114" t="s">
        <v>63</v>
      </c>
      <c r="T176" s="25">
        <v>1961372</v>
      </c>
      <c r="U176" s="90" t="e">
        <f>_xlfn.XLOOKUP(T176,COHVPI!A:A,COHVPI!F:F)</f>
        <v>#N/A</v>
      </c>
      <c r="V176" s="106" t="e">
        <f>_xlfn.XLOOKUP(T176,COHVPI!A:A,COHVPI!I:I)</f>
        <v>#N/A</v>
      </c>
      <c r="W176" s="102">
        <f>X176/12</f>
        <v>5275</v>
      </c>
      <c r="X176" s="102">
        <v>63300</v>
      </c>
      <c r="Y176" s="95"/>
      <c r="Z176"/>
      <c r="AA176"/>
      <c r="AB176"/>
      <c r="AD176" t="e">
        <f>VLOOKUP(B176,COHVPI!A:N,14,0)</f>
        <v>#N/A</v>
      </c>
      <c r="AE176" s="95" t="e">
        <f>VLOOKUP(B176,COHVPI!A:E,5,0)</f>
        <v>#N/A</v>
      </c>
      <c r="AF176" s="95" t="e">
        <f t="shared" si="10"/>
        <v>#N/A</v>
      </c>
      <c r="AJ176" s="95"/>
    </row>
    <row r="177" spans="1:36" s="35" customFormat="1" ht="15.75" customHeight="1" thickBot="1" x14ac:dyDescent="0.3">
      <c r="A177" s="89"/>
      <c r="B177" s="13"/>
      <c r="C177" s="43"/>
      <c r="D177" s="45"/>
      <c r="E177" s="45"/>
      <c r="F177" s="45"/>
      <c r="G177" s="46"/>
      <c r="H177" s="50"/>
      <c r="I177" s="47"/>
      <c r="J177" s="47"/>
      <c r="K177" s="52"/>
      <c r="L177" s="52"/>
      <c r="M177" s="52"/>
      <c r="N177" s="48"/>
      <c r="O177" s="155"/>
      <c r="P177" s="117"/>
      <c r="Q177"/>
      <c r="R177" s="49"/>
      <c r="S177" s="50"/>
      <c r="T177" s="44"/>
      <c r="U177" s="45"/>
      <c r="V177" s="51"/>
      <c r="W177" s="45"/>
      <c r="X177" s="51"/>
      <c r="Y177"/>
      <c r="Z177"/>
      <c r="AA177"/>
      <c r="AB177"/>
      <c r="AD177" t="e">
        <f>VLOOKUP(B177,COHVPI!A:N,14,0)</f>
        <v>#N/A</v>
      </c>
      <c r="AE177" s="95" t="e">
        <f>VLOOKUP(B177,COHVPI!A:E,5,0)</f>
        <v>#N/A</v>
      </c>
      <c r="AF177" s="95" t="e">
        <f t="shared" si="10"/>
        <v>#N/A</v>
      </c>
      <c r="AI177"/>
      <c r="AJ177" s="95"/>
    </row>
    <row r="178" spans="1:36" s="27" customFormat="1" ht="15.75" customHeight="1" x14ac:dyDescent="0.25">
      <c r="A178" s="29"/>
      <c r="B178" s="29"/>
      <c r="C178" s="30"/>
      <c r="D178" s="29"/>
      <c r="E178" s="29"/>
      <c r="F178" s="29"/>
      <c r="G178" s="29"/>
      <c r="H178" s="19"/>
      <c r="I178" s="29"/>
      <c r="J178"/>
      <c r="K178"/>
      <c r="L178"/>
      <c r="M178"/>
      <c r="N178" s="29"/>
      <c r="O178" s="161"/>
      <c r="Q178"/>
      <c r="U178" s="3"/>
      <c r="Y178"/>
      <c r="Z178"/>
      <c r="AA178"/>
      <c r="AB178"/>
      <c r="AD178" t="e">
        <f>VLOOKUP(B178,COHVPI!A:N,14,0)</f>
        <v>#N/A</v>
      </c>
      <c r="AE178" s="95" t="e">
        <f>VLOOKUP(B178,COHVPI!A:E,5,0)</f>
        <v>#N/A</v>
      </c>
      <c r="AF178" s="95" t="e">
        <f t="shared" si="10"/>
        <v>#N/A</v>
      </c>
      <c r="AI178"/>
      <c r="AJ178" s="95"/>
    </row>
    <row r="179" spans="1:36" ht="27" customHeight="1" thickBot="1" x14ac:dyDescent="0.3">
      <c r="A179" s="317" t="s">
        <v>545</v>
      </c>
      <c r="B179" s="317"/>
      <c r="C179" s="317"/>
      <c r="D179" s="317"/>
      <c r="E179" s="317"/>
      <c r="F179" s="317"/>
      <c r="G179" s="317"/>
      <c r="H179" s="317"/>
      <c r="I179" s="317"/>
      <c r="J179" s="317"/>
      <c r="K179" s="317"/>
      <c r="L179" s="317"/>
      <c r="M179" s="317"/>
      <c r="N179" s="317"/>
      <c r="O179" s="317"/>
      <c r="P179" s="317"/>
      <c r="R179" s="2"/>
      <c r="S179" s="2"/>
      <c r="V179" s="2"/>
      <c r="W179" s="3"/>
      <c r="X179" s="2"/>
      <c r="Z179"/>
      <c r="AA179"/>
      <c r="AB179"/>
      <c r="AD179" t="e">
        <f>VLOOKUP(B179,COHVPI!A:N,14,0)</f>
        <v>#N/A</v>
      </c>
      <c r="AE179" s="95" t="e">
        <f>VLOOKUP(B179,COHVPI!A:E,5,0)</f>
        <v>#N/A</v>
      </c>
      <c r="AF179" s="95" t="e">
        <f t="shared" si="10"/>
        <v>#N/A</v>
      </c>
      <c r="AJ179" s="95"/>
    </row>
    <row r="180" spans="1:36" ht="31.5" x14ac:dyDescent="0.25">
      <c r="A180" s="10" t="s">
        <v>489</v>
      </c>
      <c r="B180" s="10" t="s">
        <v>11</v>
      </c>
      <c r="C180" s="10" t="s">
        <v>3</v>
      </c>
      <c r="D180" s="11" t="s">
        <v>4</v>
      </c>
      <c r="E180" s="139" t="s">
        <v>778</v>
      </c>
      <c r="F180" s="139" t="s">
        <v>232</v>
      </c>
      <c r="G180" s="9" t="s">
        <v>2</v>
      </c>
      <c r="H180" s="9" t="s">
        <v>10</v>
      </c>
      <c r="I180" s="20" t="s">
        <v>507</v>
      </c>
      <c r="J180" s="20" t="s">
        <v>506</v>
      </c>
      <c r="K180" s="168" t="s">
        <v>515</v>
      </c>
      <c r="L180" s="168" t="s">
        <v>514</v>
      </c>
      <c r="M180" s="168" t="s">
        <v>513</v>
      </c>
      <c r="N180" s="109" t="s">
        <v>483</v>
      </c>
      <c r="O180" s="165" t="s">
        <v>5</v>
      </c>
      <c r="Q180" s="166"/>
      <c r="R180" s="5"/>
      <c r="S180" s="147"/>
      <c r="V180" s="3"/>
      <c r="W180" s="3"/>
      <c r="X180" s="3"/>
      <c r="Z180"/>
      <c r="AA180"/>
      <c r="AB180"/>
      <c r="AD180" t="e">
        <f>VLOOKUP(B180,COHVPI!A:N,14,0)</f>
        <v>#N/A</v>
      </c>
      <c r="AE180" s="95" t="e">
        <f>VLOOKUP(B180,COHVPI!A:E,5,0)</f>
        <v>#N/A</v>
      </c>
      <c r="AF180" s="95" t="e">
        <f t="shared" si="10"/>
        <v>#N/A</v>
      </c>
      <c r="AJ180" s="95"/>
    </row>
    <row r="181" spans="1:36" x14ac:dyDescent="0.25">
      <c r="A181" s="78" t="s">
        <v>21</v>
      </c>
      <c r="B181" s="74">
        <v>1958491</v>
      </c>
      <c r="C181" s="73" t="s">
        <v>542</v>
      </c>
      <c r="D181" s="26">
        <v>250</v>
      </c>
      <c r="E181" s="77">
        <f>_xlfn.XLOOKUP(B181,COHVPI!A:A,COHVPI!E:E,0,0,1)</f>
        <v>0</v>
      </c>
      <c r="F181" s="66" t="e">
        <f>_xlfn.XLOOKUP(B181,COHVPI!A:A,COHVPI!F:F)</f>
        <v>#N/A</v>
      </c>
      <c r="G181" s="25">
        <v>300006</v>
      </c>
      <c r="H181" s="111" t="s">
        <v>541</v>
      </c>
      <c r="I181" s="75" t="s">
        <v>21</v>
      </c>
      <c r="J181" s="75" t="s">
        <v>21</v>
      </c>
      <c r="K181" s="198"/>
      <c r="L181" s="198"/>
      <c r="M181" s="198"/>
      <c r="N181" s="197" t="e">
        <f>_xlfn.XLOOKUP('Linhas Rápidas'!B181,COHVPI!A:A,COHVPI!I:I)</f>
        <v>#N/A</v>
      </c>
      <c r="O181" s="118" t="s">
        <v>21</v>
      </c>
      <c r="Q181" s="166"/>
      <c r="R181" s="5"/>
      <c r="S181" s="147"/>
      <c r="V181" s="3"/>
      <c r="W181" s="3"/>
      <c r="X181" s="3"/>
      <c r="Z181"/>
      <c r="AA181"/>
      <c r="AB181"/>
      <c r="AD181" t="e">
        <f>VLOOKUP(B181,COHVPI!A:N,14,0)</f>
        <v>#N/A</v>
      </c>
      <c r="AE181" s="95" t="e">
        <f>VLOOKUP(B181,COHVPI!A:E,5,0)</f>
        <v>#N/A</v>
      </c>
      <c r="AF181" s="95" t="e">
        <f t="shared" si="10"/>
        <v>#N/A</v>
      </c>
      <c r="AJ181" s="95"/>
    </row>
    <row r="182" spans="1:36" ht="15.75" customHeight="1" thickBot="1" x14ac:dyDescent="0.3">
      <c r="A182" s="89"/>
      <c r="B182" s="13"/>
      <c r="C182" s="13"/>
      <c r="D182" s="13"/>
      <c r="E182" s="13"/>
      <c r="F182" s="13"/>
      <c r="G182" s="13"/>
      <c r="H182" s="13"/>
      <c r="I182" s="12"/>
      <c r="J182" s="12"/>
      <c r="K182" s="33"/>
      <c r="L182" s="33"/>
      <c r="M182" s="33"/>
      <c r="N182" s="33"/>
      <c r="O182" s="162"/>
      <c r="R182" s="5"/>
      <c r="S182" s="5"/>
      <c r="V182" s="3"/>
      <c r="W182" s="3"/>
      <c r="X182" s="3"/>
      <c r="Z182"/>
      <c r="AA182"/>
      <c r="AB182"/>
      <c r="AD182" t="e">
        <f>VLOOKUP(B182,COHVPI!A:N,14,0)</f>
        <v>#N/A</v>
      </c>
      <c r="AE182" s="95" t="e">
        <f>VLOOKUP(B182,COHVPI!A:E,5,0)</f>
        <v>#N/A</v>
      </c>
      <c r="AF182" s="95" t="e">
        <f t="shared" si="10"/>
        <v>#N/A</v>
      </c>
      <c r="AJ182" s="95"/>
    </row>
    <row r="183" spans="1:36" ht="15.75" customHeight="1" x14ac:dyDescent="0.25">
      <c r="A183" s="21"/>
      <c r="B183" s="21"/>
      <c r="C183" s="22"/>
      <c r="D183" s="21"/>
      <c r="E183" s="21"/>
      <c r="F183" s="21"/>
      <c r="G183" s="21"/>
      <c r="H183" s="19"/>
      <c r="I183" s="21"/>
      <c r="J183"/>
      <c r="K183"/>
      <c r="L183"/>
      <c r="M183"/>
      <c r="N183" s="21"/>
      <c r="O183" s="163"/>
      <c r="R183" s="5"/>
      <c r="S183" s="147"/>
      <c r="V183" s="3"/>
      <c r="W183" s="3"/>
      <c r="X183" s="3"/>
      <c r="Z183"/>
      <c r="AA183"/>
      <c r="AB183"/>
      <c r="AD183" t="e">
        <f>VLOOKUP(B183,COHVPI!A:N,14,0)</f>
        <v>#N/A</v>
      </c>
      <c r="AE183" s="95" t="e">
        <f>VLOOKUP(B183,COHVPI!A:E,5,0)</f>
        <v>#N/A</v>
      </c>
      <c r="AF183" s="95" t="e">
        <f t="shared" si="10"/>
        <v>#N/A</v>
      </c>
      <c r="AJ183" s="95"/>
    </row>
    <row r="184" spans="1:36" ht="27" customHeight="1" thickBot="1" x14ac:dyDescent="0.3">
      <c r="A184" s="317" t="s">
        <v>22</v>
      </c>
      <c r="B184" s="317"/>
      <c r="C184" s="317"/>
      <c r="D184" s="317"/>
      <c r="E184" s="317"/>
      <c r="F184" s="317"/>
      <c r="G184" s="317"/>
      <c r="H184" s="317"/>
      <c r="I184" s="317"/>
      <c r="J184" s="317"/>
      <c r="K184" s="317"/>
      <c r="L184" s="317"/>
      <c r="M184" s="317"/>
      <c r="N184" s="317"/>
      <c r="O184" s="317"/>
      <c r="P184" s="317"/>
      <c r="R184" s="2"/>
      <c r="S184" s="147"/>
      <c r="V184" s="3"/>
      <c r="W184" s="3"/>
      <c r="X184" s="3"/>
      <c r="Z184"/>
      <c r="AA184"/>
      <c r="AB184"/>
      <c r="AD184" t="e">
        <f>VLOOKUP(B184,COHVPI!A:N,14,0)</f>
        <v>#N/A</v>
      </c>
      <c r="AE184" s="95" t="e">
        <f>VLOOKUP(B184,COHVPI!A:E,5,0)</f>
        <v>#N/A</v>
      </c>
      <c r="AF184" s="95" t="e">
        <f t="shared" si="10"/>
        <v>#N/A</v>
      </c>
      <c r="AJ184" s="95"/>
    </row>
    <row r="185" spans="1:36" ht="31.5" x14ac:dyDescent="0.25">
      <c r="A185" s="10" t="s">
        <v>489</v>
      </c>
      <c r="B185" s="10" t="s">
        <v>11</v>
      </c>
      <c r="C185" s="10" t="s">
        <v>3</v>
      </c>
      <c r="D185" s="11" t="s">
        <v>4</v>
      </c>
      <c r="E185" s="139" t="s">
        <v>778</v>
      </c>
      <c r="F185" s="139" t="s">
        <v>232</v>
      </c>
      <c r="G185" s="9" t="s">
        <v>2</v>
      </c>
      <c r="H185" s="9" t="s">
        <v>10</v>
      </c>
      <c r="I185" s="20" t="s">
        <v>507</v>
      </c>
      <c r="J185" s="20" t="s">
        <v>506</v>
      </c>
      <c r="K185" s="168" t="s">
        <v>515</v>
      </c>
      <c r="L185" s="168" t="s">
        <v>514</v>
      </c>
      <c r="M185" s="168" t="s">
        <v>513</v>
      </c>
      <c r="N185" s="109" t="s">
        <v>483</v>
      </c>
      <c r="O185" s="165" t="s">
        <v>5</v>
      </c>
      <c r="R185" s="5"/>
      <c r="S185" s="147"/>
      <c r="V185" s="3"/>
      <c r="W185" s="3"/>
      <c r="X185" s="3"/>
      <c r="Z185"/>
      <c r="AA185"/>
      <c r="AB185"/>
      <c r="AD185" t="e">
        <f>VLOOKUP(B185,COHVPI!A:N,14,0)</f>
        <v>#N/A</v>
      </c>
      <c r="AE185" s="95" t="e">
        <f>VLOOKUP(B185,COHVPI!A:E,5,0)</f>
        <v>#N/A</v>
      </c>
      <c r="AF185" s="95" t="e">
        <f t="shared" si="10"/>
        <v>#N/A</v>
      </c>
      <c r="AJ185" s="95"/>
    </row>
    <row r="186" spans="1:36" s="27" customFormat="1" ht="15.75" customHeight="1" x14ac:dyDescent="0.25">
      <c r="A186" s="78" t="s">
        <v>21</v>
      </c>
      <c r="B186" s="74">
        <v>1958038</v>
      </c>
      <c r="C186" s="73" t="s">
        <v>532</v>
      </c>
      <c r="D186" s="26">
        <v>10000</v>
      </c>
      <c r="E186" s="77">
        <f>_xlfn.XLOOKUP(B186,COHVPI!A:A,COHVPI!E:E,0,0,1)</f>
        <v>0</v>
      </c>
      <c r="F186" s="66" t="e">
        <f>_xlfn.XLOOKUP(B186,COHVPI!A:A,COHVPI!F:F)</f>
        <v>#N/A</v>
      </c>
      <c r="G186" s="25">
        <v>442374</v>
      </c>
      <c r="H186" s="111" t="s">
        <v>1</v>
      </c>
      <c r="I186" s="133" t="s">
        <v>21</v>
      </c>
      <c r="J186" s="75" t="s">
        <v>21</v>
      </c>
      <c r="K186" s="75"/>
      <c r="L186" s="75"/>
      <c r="M186" s="75"/>
      <c r="N186" s="105" t="e">
        <f>_xlfn.XLOOKUP('Linhas Rápidas'!B186,COHVPI!A:A,COHVPI!I:I)</f>
        <v>#N/A</v>
      </c>
      <c r="O186" s="118" t="s">
        <v>21</v>
      </c>
      <c r="P186" s="3"/>
      <c r="Q186"/>
      <c r="R186" s="2"/>
      <c r="S186" s="2"/>
      <c r="T186" s="2"/>
      <c r="U186" s="3"/>
      <c r="V186" s="4"/>
      <c r="W186" s="4"/>
      <c r="X186" s="4"/>
      <c r="Y186"/>
      <c r="Z186"/>
      <c r="AA186"/>
      <c r="AB186"/>
      <c r="AD186" t="e">
        <f>VLOOKUP(B186,COHVPI!A:N,14,0)</f>
        <v>#N/A</v>
      </c>
      <c r="AE186" s="95" t="e">
        <f>VLOOKUP(B186,COHVPI!A:E,5,0)</f>
        <v>#N/A</v>
      </c>
      <c r="AF186" s="95" t="e">
        <f t="shared" si="10"/>
        <v>#N/A</v>
      </c>
      <c r="AI186"/>
      <c r="AJ186" s="95"/>
    </row>
    <row r="187" spans="1:36" s="27" customFormat="1" ht="15.75" customHeight="1" x14ac:dyDescent="0.25">
      <c r="A187" s="78" t="s">
        <v>21</v>
      </c>
      <c r="B187" s="74">
        <v>1958039</v>
      </c>
      <c r="C187" s="73" t="s">
        <v>533</v>
      </c>
      <c r="D187" s="26">
        <v>10000</v>
      </c>
      <c r="E187" s="77">
        <f>_xlfn.XLOOKUP(B187,COHVPI!A:A,COHVPI!E:E,0,0,1)</f>
        <v>0</v>
      </c>
      <c r="F187" s="66" t="e">
        <f>_xlfn.XLOOKUP(B187,COHVPI!A:A,COHVPI!F:F)</f>
        <v>#N/A</v>
      </c>
      <c r="G187" s="25">
        <v>442374</v>
      </c>
      <c r="H187" s="111" t="s">
        <v>1</v>
      </c>
      <c r="I187" s="133" t="s">
        <v>21</v>
      </c>
      <c r="J187" s="75" t="s">
        <v>21</v>
      </c>
      <c r="K187" s="75"/>
      <c r="L187" s="75"/>
      <c r="M187" s="75"/>
      <c r="N187" s="105" t="e">
        <f>_xlfn.XLOOKUP('Linhas Rápidas'!B187,COHVPI!A:A,COHVPI!I:I)</f>
        <v>#N/A</v>
      </c>
      <c r="O187" s="118" t="s">
        <v>21</v>
      </c>
      <c r="P187" s="3"/>
      <c r="Q187"/>
      <c r="R187" s="2"/>
      <c r="S187" s="2"/>
      <c r="T187" s="2"/>
      <c r="U187" s="3"/>
      <c r="V187" s="4"/>
      <c r="W187" s="4"/>
      <c r="X187" s="4"/>
      <c r="Y187"/>
      <c r="Z187"/>
      <c r="AA187"/>
      <c r="AB187"/>
      <c r="AD187" t="e">
        <f>VLOOKUP(B187,COHVPI!A:N,14,0)</f>
        <v>#N/A</v>
      </c>
      <c r="AE187" s="95" t="e">
        <f>VLOOKUP(B187,COHVPI!A:E,5,0)</f>
        <v>#N/A</v>
      </c>
      <c r="AF187" s="95" t="e">
        <f t="shared" si="10"/>
        <v>#N/A</v>
      </c>
      <c r="AI187"/>
      <c r="AJ187" s="95"/>
    </row>
    <row r="188" spans="1:36" s="27" customFormat="1" ht="15.75" customHeight="1" x14ac:dyDescent="0.25">
      <c r="A188" s="78" t="s">
        <v>21</v>
      </c>
      <c r="B188" s="74">
        <v>1958040</v>
      </c>
      <c r="C188" s="73" t="s">
        <v>534</v>
      </c>
      <c r="D188" s="26">
        <v>10000</v>
      </c>
      <c r="E188" s="77">
        <f>_xlfn.XLOOKUP(B188,COHVPI!A:A,COHVPI!E:E,0,0,1)</f>
        <v>0</v>
      </c>
      <c r="F188" s="66" t="e">
        <f>_xlfn.XLOOKUP(B188,COHVPI!A:A,COHVPI!F:F)</f>
        <v>#N/A</v>
      </c>
      <c r="G188" s="25">
        <v>442374</v>
      </c>
      <c r="H188" s="111" t="s">
        <v>1</v>
      </c>
      <c r="I188" s="133" t="s">
        <v>21</v>
      </c>
      <c r="J188" s="75" t="s">
        <v>21</v>
      </c>
      <c r="K188" s="75"/>
      <c r="L188" s="75"/>
      <c r="M188" s="75"/>
      <c r="N188" s="105" t="e">
        <f>_xlfn.XLOOKUP('Linhas Rápidas'!B188,COHVPI!A:A,COHVPI!I:I)</f>
        <v>#N/A</v>
      </c>
      <c r="O188" s="118" t="s">
        <v>21</v>
      </c>
      <c r="P188" s="3"/>
      <c r="Q188"/>
      <c r="R188" s="2"/>
      <c r="S188" s="2"/>
      <c r="T188" s="2"/>
      <c r="U188" s="3"/>
      <c r="V188" s="4"/>
      <c r="W188" s="4"/>
      <c r="X188" s="4"/>
      <c r="Y188"/>
      <c r="Z188"/>
      <c r="AA188"/>
      <c r="AB188"/>
      <c r="AD188" t="e">
        <f>VLOOKUP(B188,COHVPI!A:N,14,0)</f>
        <v>#N/A</v>
      </c>
      <c r="AE188" s="95" t="e">
        <f>VLOOKUP(B188,COHVPI!A:E,5,0)</f>
        <v>#N/A</v>
      </c>
      <c r="AF188" s="95" t="e">
        <f t="shared" si="10"/>
        <v>#N/A</v>
      </c>
      <c r="AI188"/>
      <c r="AJ188" s="95"/>
    </row>
    <row r="189" spans="1:36" s="27" customFormat="1" ht="15.75" customHeight="1" x14ac:dyDescent="0.25">
      <c r="A189" s="78" t="s">
        <v>21</v>
      </c>
      <c r="B189" s="74">
        <v>1958041</v>
      </c>
      <c r="C189" s="73" t="s">
        <v>535</v>
      </c>
      <c r="D189" s="26">
        <v>10000</v>
      </c>
      <c r="E189" s="77">
        <f>_xlfn.XLOOKUP(B189,COHVPI!A:A,COHVPI!E:E,0,0,1)</f>
        <v>0</v>
      </c>
      <c r="F189" s="66" t="e">
        <f>_xlfn.XLOOKUP(B189,COHVPI!A:A,COHVPI!F:F)</f>
        <v>#N/A</v>
      </c>
      <c r="G189" s="25">
        <v>442374</v>
      </c>
      <c r="H189" s="111" t="s">
        <v>1</v>
      </c>
      <c r="I189" s="133" t="s">
        <v>21</v>
      </c>
      <c r="J189" s="75" t="s">
        <v>21</v>
      </c>
      <c r="K189" s="75"/>
      <c r="L189" s="75"/>
      <c r="M189" s="75"/>
      <c r="N189" s="105" t="e">
        <f>_xlfn.XLOOKUP('Linhas Rápidas'!B189,COHVPI!A:A,COHVPI!I:I)</f>
        <v>#N/A</v>
      </c>
      <c r="O189" s="118" t="s">
        <v>21</v>
      </c>
      <c r="P189" s="3"/>
      <c r="Q189"/>
      <c r="R189" s="2"/>
      <c r="S189" s="2"/>
      <c r="T189" s="2"/>
      <c r="U189" s="3"/>
      <c r="V189" s="4"/>
      <c r="W189" s="4"/>
      <c r="X189" s="4"/>
      <c r="Y189"/>
      <c r="Z189"/>
      <c r="AA189"/>
      <c r="AB189"/>
      <c r="AD189" t="e">
        <f>VLOOKUP(B189,COHVPI!A:N,14,0)</f>
        <v>#N/A</v>
      </c>
      <c r="AE189" s="95" t="e">
        <f>VLOOKUP(B189,COHVPI!A:E,5,0)</f>
        <v>#N/A</v>
      </c>
      <c r="AF189" s="95" t="e">
        <f t="shared" si="10"/>
        <v>#N/A</v>
      </c>
      <c r="AI189"/>
      <c r="AJ189" s="95"/>
    </row>
    <row r="190" spans="1:36" s="27" customFormat="1" ht="15.75" customHeight="1" x14ac:dyDescent="0.25">
      <c r="A190" s="78" t="s">
        <v>21</v>
      </c>
      <c r="B190" s="74">
        <v>1958042</v>
      </c>
      <c r="C190" s="73" t="s">
        <v>536</v>
      </c>
      <c r="D190" s="26">
        <v>10000</v>
      </c>
      <c r="E190" s="77">
        <f>_xlfn.XLOOKUP(B190,COHVPI!A:A,COHVPI!E:E,0,0,1)</f>
        <v>0</v>
      </c>
      <c r="F190" s="66" t="e">
        <f>_xlfn.XLOOKUP(B190,COHVPI!A:A,COHVPI!F:F)</f>
        <v>#N/A</v>
      </c>
      <c r="G190" s="25">
        <v>442374</v>
      </c>
      <c r="H190" s="111" t="s">
        <v>1</v>
      </c>
      <c r="I190" s="133" t="s">
        <v>21</v>
      </c>
      <c r="J190" s="75" t="s">
        <v>21</v>
      </c>
      <c r="K190" s="75"/>
      <c r="L190" s="75"/>
      <c r="M190" s="75"/>
      <c r="N190" s="105" t="e">
        <f>_xlfn.XLOOKUP('Linhas Rápidas'!B190,COHVPI!A:A,COHVPI!I:I)</f>
        <v>#N/A</v>
      </c>
      <c r="O190" s="118" t="s">
        <v>21</v>
      </c>
      <c r="P190" s="3"/>
      <c r="Q190"/>
      <c r="R190" s="2"/>
      <c r="S190" s="2"/>
      <c r="T190" s="2"/>
      <c r="U190" s="3"/>
      <c r="V190" s="4"/>
      <c r="W190" s="4"/>
      <c r="X190" s="4"/>
      <c r="Y190"/>
      <c r="Z190"/>
      <c r="AA190"/>
      <c r="AB190"/>
      <c r="AD190" t="e">
        <f>VLOOKUP(B190,COHVPI!A:N,14,0)</f>
        <v>#N/A</v>
      </c>
      <c r="AE190" s="95" t="e">
        <f>VLOOKUP(B190,COHVPI!A:E,5,0)</f>
        <v>#N/A</v>
      </c>
      <c r="AF190" s="95" t="e">
        <f t="shared" si="10"/>
        <v>#N/A</v>
      </c>
      <c r="AI190"/>
      <c r="AJ190" s="95"/>
    </row>
    <row r="191" spans="1:36" s="27" customFormat="1" ht="15.75" customHeight="1" x14ac:dyDescent="0.25">
      <c r="A191" s="78" t="s">
        <v>21</v>
      </c>
      <c r="B191" s="74">
        <v>1958043</v>
      </c>
      <c r="C191" s="73" t="s">
        <v>537</v>
      </c>
      <c r="D191" s="26">
        <v>10000</v>
      </c>
      <c r="E191" s="77">
        <f>_xlfn.XLOOKUP(B191,COHVPI!A:A,COHVPI!E:E,0,0,1)</f>
        <v>0</v>
      </c>
      <c r="F191" s="66" t="e">
        <f>_xlfn.XLOOKUP(B191,COHVPI!A:A,COHVPI!F:F)</f>
        <v>#N/A</v>
      </c>
      <c r="G191" s="25">
        <v>442374</v>
      </c>
      <c r="H191" s="111" t="s">
        <v>1</v>
      </c>
      <c r="I191" s="133" t="s">
        <v>21</v>
      </c>
      <c r="J191" s="75" t="s">
        <v>21</v>
      </c>
      <c r="K191" s="75"/>
      <c r="L191" s="75"/>
      <c r="M191" s="75"/>
      <c r="N191" s="105" t="e">
        <f>_xlfn.XLOOKUP('Linhas Rápidas'!B191,COHVPI!A:A,COHVPI!I:I)</f>
        <v>#N/A</v>
      </c>
      <c r="O191" s="118" t="s">
        <v>21</v>
      </c>
      <c r="P191" s="3"/>
      <c r="Q191"/>
      <c r="R191" s="2"/>
      <c r="S191" s="2"/>
      <c r="T191" s="2"/>
      <c r="U191" s="3"/>
      <c r="V191" s="4"/>
      <c r="W191" s="4"/>
      <c r="X191" s="4"/>
      <c r="Y191"/>
      <c r="Z191"/>
      <c r="AA191"/>
      <c r="AB191"/>
      <c r="AD191" t="e">
        <f>VLOOKUP(B191,COHVPI!A:N,14,0)</f>
        <v>#N/A</v>
      </c>
      <c r="AE191" s="95" t="e">
        <f>VLOOKUP(B191,COHVPI!A:E,5,0)</f>
        <v>#N/A</v>
      </c>
      <c r="AF191" s="95" t="e">
        <f t="shared" si="10"/>
        <v>#N/A</v>
      </c>
      <c r="AI191"/>
      <c r="AJ191" s="95"/>
    </row>
    <row r="192" spans="1:36" s="27" customFormat="1" ht="15.75" customHeight="1" x14ac:dyDescent="0.25">
      <c r="A192" s="78" t="s">
        <v>21</v>
      </c>
      <c r="B192" s="74">
        <v>1961219</v>
      </c>
      <c r="C192" s="73" t="s">
        <v>620</v>
      </c>
      <c r="D192" s="26">
        <v>10000</v>
      </c>
      <c r="E192" s="77">
        <f>_xlfn.XLOOKUP(B192,COHVPI!A:A,COHVPI!E:E,0,0,1)</f>
        <v>0</v>
      </c>
      <c r="F192" s="66" t="e">
        <f>_xlfn.XLOOKUP(B192,COHVPI!A:A,COHVPI!F:F)</f>
        <v>#N/A</v>
      </c>
      <c r="G192" s="25">
        <v>442374</v>
      </c>
      <c r="H192" s="111" t="s">
        <v>1</v>
      </c>
      <c r="I192" s="133" t="s">
        <v>21</v>
      </c>
      <c r="J192" s="75" t="s">
        <v>21</v>
      </c>
      <c r="K192" s="75"/>
      <c r="L192" s="75"/>
      <c r="M192" s="75"/>
      <c r="N192" s="105" t="e">
        <f>_xlfn.XLOOKUP('Linhas Rápidas'!B192,COHVPI!A:A,COHVPI!I:I)</f>
        <v>#N/A</v>
      </c>
      <c r="O192" s="118" t="s">
        <v>21</v>
      </c>
      <c r="P192" s="3"/>
      <c r="Q192"/>
      <c r="R192" s="2"/>
      <c r="S192" s="2"/>
      <c r="T192" s="2"/>
      <c r="U192" s="3"/>
      <c r="V192" s="4"/>
      <c r="W192" s="4"/>
      <c r="X192" s="4"/>
      <c r="Y192"/>
      <c r="Z192"/>
      <c r="AA192"/>
      <c r="AB192"/>
      <c r="AD192" t="e">
        <f>VLOOKUP(B192,COHVPI!A:N,14,0)</f>
        <v>#N/A</v>
      </c>
      <c r="AE192" s="95" t="e">
        <f>VLOOKUP(B192,COHVPI!A:E,5,0)</f>
        <v>#N/A</v>
      </c>
      <c r="AF192" s="95" t="e">
        <f t="shared" si="10"/>
        <v>#N/A</v>
      </c>
      <c r="AI192"/>
      <c r="AJ192" s="95"/>
    </row>
    <row r="193" spans="1:36" s="27" customFormat="1" ht="15.75" customHeight="1" x14ac:dyDescent="0.25">
      <c r="A193" s="78" t="s">
        <v>21</v>
      </c>
      <c r="B193" s="74">
        <v>1961220</v>
      </c>
      <c r="C193" s="73" t="s">
        <v>621</v>
      </c>
      <c r="D193" s="26">
        <v>10000</v>
      </c>
      <c r="E193" s="77">
        <f>_xlfn.XLOOKUP(B193,COHVPI!A:A,COHVPI!E:E,0,0,1)</f>
        <v>0</v>
      </c>
      <c r="F193" s="66" t="e">
        <f>_xlfn.XLOOKUP(B193,COHVPI!A:A,COHVPI!F:F)</f>
        <v>#N/A</v>
      </c>
      <c r="G193" s="25">
        <v>442374</v>
      </c>
      <c r="H193" s="111" t="s">
        <v>1</v>
      </c>
      <c r="I193" s="133" t="s">
        <v>21</v>
      </c>
      <c r="J193" s="75" t="s">
        <v>21</v>
      </c>
      <c r="K193" s="75"/>
      <c r="L193" s="75"/>
      <c r="M193" s="75"/>
      <c r="N193" s="105" t="e">
        <f>_xlfn.XLOOKUP('Linhas Rápidas'!B193,COHVPI!A:A,COHVPI!I:I)</f>
        <v>#N/A</v>
      </c>
      <c r="O193" s="118" t="s">
        <v>21</v>
      </c>
      <c r="P193" s="3"/>
      <c r="Q193"/>
      <c r="R193" s="2"/>
      <c r="S193" s="2"/>
      <c r="T193" s="2"/>
      <c r="U193" s="3"/>
      <c r="V193" s="4"/>
      <c r="W193" s="4"/>
      <c r="X193" s="4"/>
      <c r="Y193"/>
      <c r="Z193"/>
      <c r="AA193"/>
      <c r="AB193"/>
      <c r="AD193" t="e">
        <f>VLOOKUP(B193,COHVPI!A:N,14,0)</f>
        <v>#N/A</v>
      </c>
      <c r="AE193" s="95" t="e">
        <f>VLOOKUP(B193,COHVPI!A:E,5,0)</f>
        <v>#N/A</v>
      </c>
      <c r="AF193" s="95" t="e">
        <f t="shared" si="10"/>
        <v>#N/A</v>
      </c>
      <c r="AI193"/>
      <c r="AJ193" s="95"/>
    </row>
    <row r="194" spans="1:36" s="27" customFormat="1" ht="15.75" customHeight="1" x14ac:dyDescent="0.25">
      <c r="A194" s="78" t="s">
        <v>21</v>
      </c>
      <c r="B194" s="74">
        <v>1961221</v>
      </c>
      <c r="C194" s="73" t="s">
        <v>622</v>
      </c>
      <c r="D194" s="26">
        <v>10000</v>
      </c>
      <c r="E194" s="77">
        <f>_xlfn.XLOOKUP(B194,COHVPI!A:A,COHVPI!E:E,0,0,1)</f>
        <v>0</v>
      </c>
      <c r="F194" s="66" t="e">
        <f>_xlfn.XLOOKUP(B194,COHVPI!A:A,COHVPI!F:F)</f>
        <v>#N/A</v>
      </c>
      <c r="G194" s="25">
        <v>442374</v>
      </c>
      <c r="H194" s="111" t="s">
        <v>1</v>
      </c>
      <c r="I194" s="133" t="s">
        <v>21</v>
      </c>
      <c r="J194" s="75" t="s">
        <v>21</v>
      </c>
      <c r="K194" s="75"/>
      <c r="L194" s="75"/>
      <c r="M194" s="75"/>
      <c r="N194" s="105" t="e">
        <f>_xlfn.XLOOKUP('Linhas Rápidas'!B194,COHVPI!A:A,COHVPI!I:I)</f>
        <v>#N/A</v>
      </c>
      <c r="O194" s="118" t="s">
        <v>21</v>
      </c>
      <c r="P194" s="3"/>
      <c r="Q194"/>
      <c r="R194" s="2"/>
      <c r="S194" s="2"/>
      <c r="T194" s="2"/>
      <c r="U194" s="3"/>
      <c r="V194" s="4"/>
      <c r="W194" s="4"/>
      <c r="X194" s="4"/>
      <c r="Y194"/>
      <c r="Z194"/>
      <c r="AA194"/>
      <c r="AB194"/>
      <c r="AD194" t="e">
        <f>VLOOKUP(B194,COHVPI!A:N,14,0)</f>
        <v>#N/A</v>
      </c>
      <c r="AE194" s="95" t="e">
        <f>VLOOKUP(B194,COHVPI!A:E,5,0)</f>
        <v>#N/A</v>
      </c>
      <c r="AF194" s="95" t="e">
        <f t="shared" si="10"/>
        <v>#N/A</v>
      </c>
      <c r="AI194"/>
      <c r="AJ194" s="95"/>
    </row>
    <row r="195" spans="1:36" s="27" customFormat="1" ht="15.75" customHeight="1" x14ac:dyDescent="0.25">
      <c r="A195" s="78" t="s">
        <v>21</v>
      </c>
      <c r="B195" s="74">
        <v>1961222</v>
      </c>
      <c r="C195" s="73" t="s">
        <v>623</v>
      </c>
      <c r="D195" s="26">
        <v>10000</v>
      </c>
      <c r="E195" s="77">
        <f>_xlfn.XLOOKUP(B195,COHVPI!A:A,COHVPI!E:E,0,0,1)</f>
        <v>0</v>
      </c>
      <c r="F195" s="66" t="e">
        <f>_xlfn.XLOOKUP(B195,COHVPI!A:A,COHVPI!F:F)</f>
        <v>#N/A</v>
      </c>
      <c r="G195" s="25">
        <v>442374</v>
      </c>
      <c r="H195" s="111" t="s">
        <v>1</v>
      </c>
      <c r="I195" s="133" t="s">
        <v>21</v>
      </c>
      <c r="J195" s="75" t="s">
        <v>21</v>
      </c>
      <c r="K195" s="75"/>
      <c r="L195" s="75"/>
      <c r="M195" s="75"/>
      <c r="N195" s="105" t="e">
        <f>_xlfn.XLOOKUP('Linhas Rápidas'!B195,COHVPI!A:A,COHVPI!I:I)</f>
        <v>#N/A</v>
      </c>
      <c r="O195" s="118" t="s">
        <v>21</v>
      </c>
      <c r="P195" s="3"/>
      <c r="Q195"/>
      <c r="R195" s="2"/>
      <c r="S195" s="2"/>
      <c r="T195" s="2"/>
      <c r="U195" s="3"/>
      <c r="V195" s="4"/>
      <c r="W195" s="4"/>
      <c r="X195" s="4"/>
      <c r="Y195"/>
      <c r="Z195"/>
      <c r="AA195"/>
      <c r="AB195"/>
      <c r="AD195" t="e">
        <f>VLOOKUP(B195,COHVPI!A:N,14,0)</f>
        <v>#N/A</v>
      </c>
      <c r="AE195" s="95" t="e">
        <f>VLOOKUP(B195,COHVPI!A:E,5,0)</f>
        <v>#N/A</v>
      </c>
      <c r="AF195" s="95" t="e">
        <f t="shared" si="10"/>
        <v>#N/A</v>
      </c>
      <c r="AI195"/>
      <c r="AJ195" s="95"/>
    </row>
    <row r="196" spans="1:36" s="27" customFormat="1" ht="15.75" customHeight="1" x14ac:dyDescent="0.25">
      <c r="A196" s="78" t="s">
        <v>21</v>
      </c>
      <c r="B196" s="74">
        <v>1961223</v>
      </c>
      <c r="C196" s="73" t="s">
        <v>624</v>
      </c>
      <c r="D196" s="26">
        <v>10000</v>
      </c>
      <c r="E196" s="77">
        <f>_xlfn.XLOOKUP(B196,COHVPI!A:A,COHVPI!E:E,0,0,1)</f>
        <v>0</v>
      </c>
      <c r="F196" s="66" t="e">
        <f>_xlfn.XLOOKUP(B196,COHVPI!A:A,COHVPI!F:F)</f>
        <v>#N/A</v>
      </c>
      <c r="G196" s="25">
        <v>442374</v>
      </c>
      <c r="H196" s="111" t="s">
        <v>1</v>
      </c>
      <c r="I196" s="133" t="s">
        <v>21</v>
      </c>
      <c r="J196" s="75" t="s">
        <v>21</v>
      </c>
      <c r="K196" s="75"/>
      <c r="L196" s="75"/>
      <c r="M196" s="75"/>
      <c r="N196" s="105" t="e">
        <f>_xlfn.XLOOKUP('Linhas Rápidas'!B196,COHVPI!A:A,COHVPI!I:I)</f>
        <v>#N/A</v>
      </c>
      <c r="O196" s="118" t="s">
        <v>21</v>
      </c>
      <c r="P196" s="3"/>
      <c r="Q196"/>
      <c r="R196" s="2"/>
      <c r="S196" s="2"/>
      <c r="T196" s="2"/>
      <c r="U196" s="3"/>
      <c r="V196" s="4"/>
      <c r="W196" s="4"/>
      <c r="X196" s="4"/>
      <c r="Y196"/>
      <c r="Z196"/>
      <c r="AA196"/>
      <c r="AB196"/>
      <c r="AD196" t="e">
        <f>VLOOKUP(B196,COHVPI!A:N,14,0)</f>
        <v>#N/A</v>
      </c>
      <c r="AE196" s="95" t="e">
        <f>VLOOKUP(B196,COHVPI!A:E,5,0)</f>
        <v>#N/A</v>
      </c>
      <c r="AF196" s="95" t="e">
        <f t="shared" si="10"/>
        <v>#N/A</v>
      </c>
      <c r="AI196"/>
      <c r="AJ196" s="95"/>
    </row>
    <row r="197" spans="1:36" s="27" customFormat="1" ht="15.75" customHeight="1" x14ac:dyDescent="0.25">
      <c r="A197" s="78" t="s">
        <v>21</v>
      </c>
      <c r="B197" s="74">
        <v>1961224</v>
      </c>
      <c r="C197" s="73" t="s">
        <v>625</v>
      </c>
      <c r="D197" s="26">
        <v>10000</v>
      </c>
      <c r="E197" s="77">
        <f>_xlfn.XLOOKUP(B197,COHVPI!A:A,COHVPI!E:E,0,0,1)</f>
        <v>0</v>
      </c>
      <c r="F197" s="66" t="e">
        <f>_xlfn.XLOOKUP(B197,COHVPI!A:A,COHVPI!F:F)</f>
        <v>#N/A</v>
      </c>
      <c r="G197" s="25">
        <v>442374</v>
      </c>
      <c r="H197" s="111" t="s">
        <v>1</v>
      </c>
      <c r="I197" s="133" t="s">
        <v>21</v>
      </c>
      <c r="J197" s="75" t="s">
        <v>21</v>
      </c>
      <c r="K197" s="75"/>
      <c r="L197" s="75"/>
      <c r="M197" s="75"/>
      <c r="N197" s="105" t="e">
        <f>_xlfn.XLOOKUP('Linhas Rápidas'!B197,COHVPI!A:A,COHVPI!I:I)</f>
        <v>#N/A</v>
      </c>
      <c r="O197" s="118" t="s">
        <v>21</v>
      </c>
      <c r="P197" s="3"/>
      <c r="Q197"/>
      <c r="R197" s="2"/>
      <c r="S197" s="2"/>
      <c r="T197" s="2"/>
      <c r="U197" s="3"/>
      <c r="V197" s="4"/>
      <c r="W197" s="4"/>
      <c r="X197" s="4"/>
      <c r="Y197"/>
      <c r="Z197"/>
      <c r="AA197"/>
      <c r="AB197"/>
      <c r="AD197" t="e">
        <f>VLOOKUP(B197,COHVPI!A:N,14,0)</f>
        <v>#N/A</v>
      </c>
      <c r="AE197" s="95" t="e">
        <f>VLOOKUP(B197,COHVPI!A:E,5,0)</f>
        <v>#N/A</v>
      </c>
      <c r="AF197" s="95" t="e">
        <f t="shared" si="10"/>
        <v>#N/A</v>
      </c>
      <c r="AI197"/>
      <c r="AJ197" s="95"/>
    </row>
    <row r="198" spans="1:36" s="27" customFormat="1" ht="15.75" customHeight="1" x14ac:dyDescent="0.25">
      <c r="A198" s="78" t="s">
        <v>21</v>
      </c>
      <c r="B198" s="74">
        <v>1961225</v>
      </c>
      <c r="C198" s="73" t="s">
        <v>626</v>
      </c>
      <c r="D198" s="26">
        <v>10000</v>
      </c>
      <c r="E198" s="77">
        <f>_xlfn.XLOOKUP(B198,COHVPI!A:A,COHVPI!E:E,0,0,1)</f>
        <v>0</v>
      </c>
      <c r="F198" s="66" t="e">
        <f>_xlfn.XLOOKUP(B198,COHVPI!A:A,COHVPI!F:F)</f>
        <v>#N/A</v>
      </c>
      <c r="G198" s="25">
        <v>442374</v>
      </c>
      <c r="H198" s="111" t="s">
        <v>1</v>
      </c>
      <c r="I198" s="133" t="s">
        <v>21</v>
      </c>
      <c r="J198" s="75" t="s">
        <v>21</v>
      </c>
      <c r="K198" s="75"/>
      <c r="L198" s="75"/>
      <c r="M198" s="75"/>
      <c r="N198" s="105" t="e">
        <f>_xlfn.XLOOKUP('Linhas Rápidas'!B198,COHVPI!A:A,COHVPI!I:I)</f>
        <v>#N/A</v>
      </c>
      <c r="O198" s="118" t="s">
        <v>21</v>
      </c>
      <c r="P198" s="3"/>
      <c r="Q198"/>
      <c r="R198" s="2"/>
      <c r="S198" s="2"/>
      <c r="T198" s="2"/>
      <c r="U198" s="3"/>
      <c r="V198" s="4"/>
      <c r="W198" s="4"/>
      <c r="X198" s="4"/>
      <c r="Y198"/>
      <c r="Z198"/>
      <c r="AA198"/>
      <c r="AB198"/>
      <c r="AD198" t="e">
        <f>VLOOKUP(B198,COHVPI!A:N,14,0)</f>
        <v>#N/A</v>
      </c>
      <c r="AE198" s="95" t="e">
        <f>VLOOKUP(B198,COHVPI!A:E,5,0)</f>
        <v>#N/A</v>
      </c>
      <c r="AF198" s="95" t="e">
        <f t="shared" si="10"/>
        <v>#N/A</v>
      </c>
      <c r="AI198"/>
      <c r="AJ198" s="95"/>
    </row>
    <row r="199" spans="1:36" s="27" customFormat="1" ht="15.75" customHeight="1" x14ac:dyDescent="0.25">
      <c r="A199" s="78" t="s">
        <v>21</v>
      </c>
      <c r="B199" s="74">
        <v>1961226</v>
      </c>
      <c r="C199" s="73" t="s">
        <v>627</v>
      </c>
      <c r="D199" s="26">
        <v>10000</v>
      </c>
      <c r="E199" s="77">
        <f>_xlfn.XLOOKUP(B199,COHVPI!A:A,COHVPI!E:E,0,0,1)</f>
        <v>0</v>
      </c>
      <c r="F199" s="66" t="e">
        <f>_xlfn.XLOOKUP(B199,COHVPI!A:A,COHVPI!F:F)</f>
        <v>#N/A</v>
      </c>
      <c r="G199" s="25">
        <v>442374</v>
      </c>
      <c r="H199" s="111" t="s">
        <v>1</v>
      </c>
      <c r="I199" s="133" t="s">
        <v>21</v>
      </c>
      <c r="J199" s="75" t="s">
        <v>21</v>
      </c>
      <c r="K199" s="75"/>
      <c r="L199" s="75"/>
      <c r="M199" s="75"/>
      <c r="N199" s="105" t="e">
        <f>_xlfn.XLOOKUP('Linhas Rápidas'!B199,COHVPI!A:A,COHVPI!I:I)</f>
        <v>#N/A</v>
      </c>
      <c r="O199" s="118" t="s">
        <v>21</v>
      </c>
      <c r="P199" s="3"/>
      <c r="Q199"/>
      <c r="R199" s="2"/>
      <c r="S199" s="2"/>
      <c r="T199" s="2"/>
      <c r="U199" s="3"/>
      <c r="V199" s="4"/>
      <c r="W199" s="4"/>
      <c r="X199" s="4"/>
      <c r="Y199"/>
      <c r="Z199"/>
      <c r="AA199"/>
      <c r="AB199"/>
      <c r="AD199" t="e">
        <f>VLOOKUP(B199,COHVPI!A:N,14,0)</f>
        <v>#N/A</v>
      </c>
      <c r="AE199" s="95" t="e">
        <f>VLOOKUP(B199,COHVPI!A:E,5,0)</f>
        <v>#N/A</v>
      </c>
      <c r="AF199" s="95" t="e">
        <f t="shared" si="10"/>
        <v>#N/A</v>
      </c>
      <c r="AI199"/>
      <c r="AJ199" s="95"/>
    </row>
    <row r="200" spans="1:36" s="27" customFormat="1" ht="15.75" customHeight="1" x14ac:dyDescent="0.25">
      <c r="A200" s="78" t="s">
        <v>21</v>
      </c>
      <c r="B200" s="74">
        <v>1961227</v>
      </c>
      <c r="C200" s="73" t="s">
        <v>628</v>
      </c>
      <c r="D200" s="26">
        <v>10000</v>
      </c>
      <c r="E200" s="77">
        <f>_xlfn.XLOOKUP(B200,COHVPI!A:A,COHVPI!E:E,0,0,1)</f>
        <v>0</v>
      </c>
      <c r="F200" s="66" t="e">
        <f>_xlfn.XLOOKUP(B200,COHVPI!A:A,COHVPI!F:F)</f>
        <v>#N/A</v>
      </c>
      <c r="G200" s="25">
        <v>442374</v>
      </c>
      <c r="H200" s="111" t="s">
        <v>1</v>
      </c>
      <c r="I200" s="133" t="s">
        <v>21</v>
      </c>
      <c r="J200" s="75" t="s">
        <v>21</v>
      </c>
      <c r="K200" s="75"/>
      <c r="L200" s="75"/>
      <c r="M200" s="75"/>
      <c r="N200" s="105" t="e">
        <f>_xlfn.XLOOKUP('Linhas Rápidas'!B200,COHVPI!A:A,COHVPI!I:I)</f>
        <v>#N/A</v>
      </c>
      <c r="O200" s="118" t="s">
        <v>21</v>
      </c>
      <c r="P200" s="3"/>
      <c r="Q200"/>
      <c r="R200" s="2"/>
      <c r="S200" s="2"/>
      <c r="T200" s="2"/>
      <c r="U200" s="3"/>
      <c r="V200" s="4"/>
      <c r="W200" s="4"/>
      <c r="X200" s="4"/>
      <c r="Y200"/>
      <c r="Z200"/>
      <c r="AA200"/>
      <c r="AB200"/>
      <c r="AD200" t="e">
        <f>VLOOKUP(B200,COHVPI!A:N,14,0)</f>
        <v>#N/A</v>
      </c>
      <c r="AE200" s="95" t="e">
        <f>VLOOKUP(B200,COHVPI!A:E,5,0)</f>
        <v>#N/A</v>
      </c>
      <c r="AF200" s="95" t="e">
        <f t="shared" si="10"/>
        <v>#N/A</v>
      </c>
      <c r="AI200"/>
      <c r="AJ200" s="95"/>
    </row>
    <row r="201" spans="1:36" s="27" customFormat="1" ht="15.75" customHeight="1" x14ac:dyDescent="0.25">
      <c r="A201" s="78" t="s">
        <v>21</v>
      </c>
      <c r="B201" s="74">
        <v>1961228</v>
      </c>
      <c r="C201" s="73" t="s">
        <v>629</v>
      </c>
      <c r="D201" s="26">
        <v>10000</v>
      </c>
      <c r="E201" s="77">
        <f>_xlfn.XLOOKUP(B201,COHVPI!A:A,COHVPI!E:E,0,0,1)</f>
        <v>0</v>
      </c>
      <c r="F201" s="66" t="e">
        <f>_xlfn.XLOOKUP(B201,COHVPI!A:A,COHVPI!F:F)</f>
        <v>#N/A</v>
      </c>
      <c r="G201" s="25">
        <v>442374</v>
      </c>
      <c r="H201" s="111" t="s">
        <v>1</v>
      </c>
      <c r="I201" s="133" t="s">
        <v>21</v>
      </c>
      <c r="J201" s="75" t="s">
        <v>21</v>
      </c>
      <c r="K201" s="75"/>
      <c r="L201" s="75"/>
      <c r="M201" s="75"/>
      <c r="N201" s="105" t="e">
        <f>_xlfn.XLOOKUP('Linhas Rápidas'!B201,COHVPI!A:A,COHVPI!I:I)</f>
        <v>#N/A</v>
      </c>
      <c r="O201" s="118" t="s">
        <v>21</v>
      </c>
      <c r="P201" s="3"/>
      <c r="Q201"/>
      <c r="R201" s="2"/>
      <c r="S201" s="2"/>
      <c r="T201" s="2"/>
      <c r="U201" s="3"/>
      <c r="V201" s="4"/>
      <c r="W201" s="4"/>
      <c r="X201" s="4"/>
      <c r="Y201"/>
      <c r="Z201"/>
      <c r="AA201"/>
      <c r="AB201"/>
      <c r="AD201" t="e">
        <f>VLOOKUP(B201,COHVPI!A:N,14,0)</f>
        <v>#N/A</v>
      </c>
      <c r="AE201" s="95" t="e">
        <f>VLOOKUP(B201,COHVPI!A:E,5,0)</f>
        <v>#N/A</v>
      </c>
      <c r="AF201" s="95" t="e">
        <f t="shared" si="10"/>
        <v>#N/A</v>
      </c>
      <c r="AI201"/>
      <c r="AJ201" s="95"/>
    </row>
    <row r="202" spans="1:36" s="27" customFormat="1" ht="15.75" customHeight="1" x14ac:dyDescent="0.25">
      <c r="A202" s="78" t="s">
        <v>21</v>
      </c>
      <c r="B202" s="74">
        <v>1961229</v>
      </c>
      <c r="C202" s="73" t="s">
        <v>630</v>
      </c>
      <c r="D202" s="26">
        <v>10000</v>
      </c>
      <c r="E202" s="77">
        <f>_xlfn.XLOOKUP(B202,COHVPI!A:A,COHVPI!E:E,0,0,1)</f>
        <v>0</v>
      </c>
      <c r="F202" s="66" t="e">
        <f>_xlfn.XLOOKUP(B202,COHVPI!A:A,COHVPI!F:F)</f>
        <v>#N/A</v>
      </c>
      <c r="G202" s="25">
        <v>442374</v>
      </c>
      <c r="H202" s="111" t="s">
        <v>1</v>
      </c>
      <c r="I202" s="133" t="s">
        <v>21</v>
      </c>
      <c r="J202" s="75" t="s">
        <v>21</v>
      </c>
      <c r="K202" s="75"/>
      <c r="L202" s="75"/>
      <c r="M202" s="75"/>
      <c r="N202" s="105" t="e">
        <f>_xlfn.XLOOKUP('Linhas Rápidas'!B202,COHVPI!A:A,COHVPI!I:I)</f>
        <v>#N/A</v>
      </c>
      <c r="O202" s="118" t="s">
        <v>21</v>
      </c>
      <c r="P202" s="3"/>
      <c r="Q202"/>
      <c r="R202" s="2"/>
      <c r="S202" s="2"/>
      <c r="T202" s="2"/>
      <c r="U202" s="3"/>
      <c r="V202" s="4"/>
      <c r="W202" s="4"/>
      <c r="X202" s="4"/>
      <c r="Y202"/>
      <c r="Z202"/>
      <c r="AA202"/>
      <c r="AB202"/>
      <c r="AD202" t="e">
        <f>VLOOKUP(B202,COHVPI!A:N,14,0)</f>
        <v>#N/A</v>
      </c>
      <c r="AE202" s="95" t="e">
        <f>VLOOKUP(B202,COHVPI!A:E,5,0)</f>
        <v>#N/A</v>
      </c>
      <c r="AF202" s="95" t="e">
        <f t="shared" si="10"/>
        <v>#N/A</v>
      </c>
      <c r="AI202"/>
      <c r="AJ202" s="95"/>
    </row>
    <row r="203" spans="1:36" s="27" customFormat="1" ht="15.75" customHeight="1" x14ac:dyDescent="0.25">
      <c r="A203" s="78" t="s">
        <v>21</v>
      </c>
      <c r="B203" s="74">
        <v>1961230</v>
      </c>
      <c r="C203" s="73" t="s">
        <v>631</v>
      </c>
      <c r="D203" s="26">
        <v>10000</v>
      </c>
      <c r="E203" s="77">
        <f>_xlfn.XLOOKUP(B203,COHVPI!A:A,COHVPI!E:E,0,0,1)</f>
        <v>0</v>
      </c>
      <c r="F203" s="66" t="e">
        <f>_xlfn.XLOOKUP(B203,COHVPI!A:A,COHVPI!F:F)</f>
        <v>#N/A</v>
      </c>
      <c r="G203" s="25">
        <v>442374</v>
      </c>
      <c r="H203" s="111" t="s">
        <v>1</v>
      </c>
      <c r="I203" s="133" t="s">
        <v>21</v>
      </c>
      <c r="J203" s="75" t="s">
        <v>21</v>
      </c>
      <c r="K203" s="75"/>
      <c r="L203" s="75"/>
      <c r="M203" s="75"/>
      <c r="N203" s="105" t="e">
        <f>_xlfn.XLOOKUP('Linhas Rápidas'!B203,COHVPI!A:A,COHVPI!I:I)</f>
        <v>#N/A</v>
      </c>
      <c r="O203" s="118" t="s">
        <v>21</v>
      </c>
      <c r="P203" s="3"/>
      <c r="Q203"/>
      <c r="R203" s="2"/>
      <c r="S203" s="2"/>
      <c r="T203" s="2"/>
      <c r="U203" s="3"/>
      <c r="V203" s="4"/>
      <c r="W203" s="4"/>
      <c r="X203" s="4"/>
      <c r="Y203"/>
      <c r="Z203"/>
      <c r="AA203"/>
      <c r="AB203"/>
      <c r="AD203" t="e">
        <f>VLOOKUP(B203,COHVPI!A:N,14,0)</f>
        <v>#N/A</v>
      </c>
      <c r="AE203" s="95" t="e">
        <f>VLOOKUP(B203,COHVPI!A:E,5,0)</f>
        <v>#N/A</v>
      </c>
      <c r="AF203" s="95" t="e">
        <f t="shared" si="10"/>
        <v>#N/A</v>
      </c>
      <c r="AI203"/>
      <c r="AJ203" s="95"/>
    </row>
    <row r="204" spans="1:36" s="27" customFormat="1" ht="15.75" customHeight="1" x14ac:dyDescent="0.25">
      <c r="A204" s="78" t="s">
        <v>21</v>
      </c>
      <c r="B204" s="74">
        <v>1961231</v>
      </c>
      <c r="C204" s="73" t="s">
        <v>632</v>
      </c>
      <c r="D204" s="26">
        <v>10000</v>
      </c>
      <c r="E204" s="77">
        <f>_xlfn.XLOOKUP(B204,COHVPI!A:A,COHVPI!E:E,0,0,1)</f>
        <v>0</v>
      </c>
      <c r="F204" s="66" t="e">
        <f>_xlfn.XLOOKUP(B204,COHVPI!A:A,COHVPI!F:F)</f>
        <v>#N/A</v>
      </c>
      <c r="G204" s="25">
        <v>442374</v>
      </c>
      <c r="H204" s="111" t="s">
        <v>1</v>
      </c>
      <c r="I204" s="133" t="s">
        <v>21</v>
      </c>
      <c r="J204" s="75" t="s">
        <v>21</v>
      </c>
      <c r="K204" s="75"/>
      <c r="L204" s="75"/>
      <c r="M204" s="75"/>
      <c r="N204" s="105" t="e">
        <f>_xlfn.XLOOKUP('Linhas Rápidas'!B204,COHVPI!A:A,COHVPI!I:I)</f>
        <v>#N/A</v>
      </c>
      <c r="O204" s="118" t="s">
        <v>21</v>
      </c>
      <c r="P204" s="3"/>
      <c r="Q204"/>
      <c r="R204" s="2"/>
      <c r="S204" s="2"/>
      <c r="T204" s="2"/>
      <c r="U204" s="3"/>
      <c r="V204" s="4"/>
      <c r="W204" s="4"/>
      <c r="X204" s="4"/>
      <c r="Y204"/>
      <c r="Z204"/>
      <c r="AA204"/>
      <c r="AB204"/>
      <c r="AD204" t="e">
        <f>VLOOKUP(B204,COHVPI!A:N,14,0)</f>
        <v>#N/A</v>
      </c>
      <c r="AE204" s="95" t="e">
        <f>VLOOKUP(B204,COHVPI!A:E,5,0)</f>
        <v>#N/A</v>
      </c>
      <c r="AF204" s="95" t="e">
        <f t="shared" si="10"/>
        <v>#N/A</v>
      </c>
      <c r="AI204"/>
      <c r="AJ204" s="95"/>
    </row>
    <row r="205" spans="1:36" s="27" customFormat="1" ht="15.75" customHeight="1" x14ac:dyDescent="0.25">
      <c r="A205" s="78" t="s">
        <v>21</v>
      </c>
      <c r="B205" s="74">
        <v>1961232</v>
      </c>
      <c r="C205" s="73" t="s">
        <v>633</v>
      </c>
      <c r="D205" s="26">
        <v>10000</v>
      </c>
      <c r="E205" s="77">
        <f>_xlfn.XLOOKUP(B205,COHVPI!A:A,COHVPI!E:E,0,0,1)</f>
        <v>0</v>
      </c>
      <c r="F205" s="66" t="e">
        <f>_xlfn.XLOOKUP(B205,COHVPI!A:A,COHVPI!F:F)</f>
        <v>#N/A</v>
      </c>
      <c r="G205" s="25">
        <v>442374</v>
      </c>
      <c r="H205" s="111" t="s">
        <v>1</v>
      </c>
      <c r="I205" s="133" t="s">
        <v>21</v>
      </c>
      <c r="J205" s="75" t="s">
        <v>21</v>
      </c>
      <c r="K205" s="75"/>
      <c r="L205" s="75"/>
      <c r="M205" s="75"/>
      <c r="N205" s="105" t="e">
        <f>_xlfn.XLOOKUP('Linhas Rápidas'!B205,COHVPI!A:A,COHVPI!I:I)</f>
        <v>#N/A</v>
      </c>
      <c r="O205" s="118" t="s">
        <v>21</v>
      </c>
      <c r="P205" s="3"/>
      <c r="Q205"/>
      <c r="R205" s="2"/>
      <c r="S205" s="2"/>
      <c r="T205" s="2"/>
      <c r="U205" s="3"/>
      <c r="V205" s="4"/>
      <c r="W205" s="4"/>
      <c r="X205" s="4"/>
      <c r="Y205"/>
      <c r="Z205"/>
      <c r="AA205"/>
      <c r="AB205"/>
      <c r="AD205" t="e">
        <f>VLOOKUP(B205,COHVPI!A:N,14,0)</f>
        <v>#N/A</v>
      </c>
      <c r="AE205" s="95" t="e">
        <f>VLOOKUP(B205,COHVPI!A:E,5,0)</f>
        <v>#N/A</v>
      </c>
      <c r="AF205" s="95" t="e">
        <f t="shared" si="10"/>
        <v>#N/A</v>
      </c>
      <c r="AI205"/>
      <c r="AJ205" s="95"/>
    </row>
    <row r="206" spans="1:36" s="27" customFormat="1" ht="15.75" customHeight="1" x14ac:dyDescent="0.25">
      <c r="A206" s="78" t="s">
        <v>21</v>
      </c>
      <c r="B206" s="74">
        <v>1961234</v>
      </c>
      <c r="C206" s="73" t="s">
        <v>634</v>
      </c>
      <c r="D206" s="26">
        <v>10000</v>
      </c>
      <c r="E206" s="77">
        <f>_xlfn.XLOOKUP(B206,COHVPI!A:A,COHVPI!E:E,0,0,1)</f>
        <v>0</v>
      </c>
      <c r="F206" s="66" t="e">
        <f>_xlfn.XLOOKUP(B206,COHVPI!A:A,COHVPI!F:F)</f>
        <v>#N/A</v>
      </c>
      <c r="G206" s="25">
        <v>442374</v>
      </c>
      <c r="H206" s="111" t="s">
        <v>1</v>
      </c>
      <c r="I206" s="133" t="s">
        <v>21</v>
      </c>
      <c r="J206" s="75" t="s">
        <v>21</v>
      </c>
      <c r="K206" s="75"/>
      <c r="L206" s="75"/>
      <c r="M206" s="75"/>
      <c r="N206" s="105" t="e">
        <f>_xlfn.XLOOKUP('Linhas Rápidas'!B206,COHVPI!A:A,COHVPI!I:I)</f>
        <v>#N/A</v>
      </c>
      <c r="O206" s="118" t="s">
        <v>21</v>
      </c>
      <c r="P206" s="3"/>
      <c r="Q206"/>
      <c r="R206" s="2"/>
      <c r="S206" s="2"/>
      <c r="T206" s="2"/>
      <c r="U206" s="3"/>
      <c r="V206" s="4"/>
      <c r="W206" s="4"/>
      <c r="X206" s="4"/>
      <c r="Y206"/>
      <c r="Z206"/>
      <c r="AA206"/>
      <c r="AB206"/>
      <c r="AD206" t="e">
        <f>VLOOKUP(B206,COHVPI!A:N,14,0)</f>
        <v>#N/A</v>
      </c>
      <c r="AE206" s="95" t="e">
        <f>VLOOKUP(B206,COHVPI!A:E,5,0)</f>
        <v>#N/A</v>
      </c>
      <c r="AF206" s="95" t="e">
        <f t="shared" si="10"/>
        <v>#N/A</v>
      </c>
      <c r="AI206"/>
      <c r="AJ206" s="95"/>
    </row>
    <row r="207" spans="1:36" s="27" customFormat="1" ht="15.75" customHeight="1" x14ac:dyDescent="0.25">
      <c r="A207" s="78" t="s">
        <v>21</v>
      </c>
      <c r="B207" s="74">
        <v>1961235</v>
      </c>
      <c r="C207" s="73" t="s">
        <v>635</v>
      </c>
      <c r="D207" s="26">
        <v>10000</v>
      </c>
      <c r="E207" s="77">
        <f>_xlfn.XLOOKUP(B207,COHVPI!A:A,COHVPI!E:E,0,0,1)</f>
        <v>0</v>
      </c>
      <c r="F207" s="66" t="e">
        <f>_xlfn.XLOOKUP(B207,COHVPI!A:A,COHVPI!F:F)</f>
        <v>#N/A</v>
      </c>
      <c r="G207" s="25">
        <v>442374</v>
      </c>
      <c r="H207" s="111" t="s">
        <v>1</v>
      </c>
      <c r="I207" s="133" t="s">
        <v>21</v>
      </c>
      <c r="J207" s="75" t="s">
        <v>21</v>
      </c>
      <c r="K207" s="75"/>
      <c r="L207" s="75"/>
      <c r="M207" s="75"/>
      <c r="N207" s="105" t="e">
        <f>_xlfn.XLOOKUP('Linhas Rápidas'!B207,COHVPI!A:A,COHVPI!I:I)</f>
        <v>#N/A</v>
      </c>
      <c r="O207" s="118" t="s">
        <v>21</v>
      </c>
      <c r="P207" s="3"/>
      <c r="Q207"/>
      <c r="R207" s="2"/>
      <c r="S207" s="2"/>
      <c r="T207" s="2"/>
      <c r="U207" s="3"/>
      <c r="V207" s="4"/>
      <c r="W207" s="4"/>
      <c r="X207" s="4"/>
      <c r="Y207"/>
      <c r="Z207"/>
      <c r="AA207"/>
      <c r="AB207"/>
      <c r="AD207" t="e">
        <f>VLOOKUP(B207,COHVPI!A:N,14,0)</f>
        <v>#N/A</v>
      </c>
      <c r="AE207" s="95" t="e">
        <f>VLOOKUP(B207,COHVPI!A:E,5,0)</f>
        <v>#N/A</v>
      </c>
      <c r="AF207" s="95" t="e">
        <f t="shared" si="10"/>
        <v>#N/A</v>
      </c>
      <c r="AI207"/>
      <c r="AJ207" s="95"/>
    </row>
    <row r="208" spans="1:36" s="27" customFormat="1" ht="15.75" customHeight="1" x14ac:dyDescent="0.25">
      <c r="A208" s="78" t="s">
        <v>21</v>
      </c>
      <c r="B208" s="74">
        <v>1961236</v>
      </c>
      <c r="C208" s="73" t="s">
        <v>636</v>
      </c>
      <c r="D208" s="26">
        <v>10000</v>
      </c>
      <c r="E208" s="77">
        <f>_xlfn.XLOOKUP(B208,COHVPI!A:A,COHVPI!E:E,0,0,1)</f>
        <v>0</v>
      </c>
      <c r="F208" s="66" t="e">
        <f>_xlfn.XLOOKUP(B208,COHVPI!A:A,COHVPI!F:F)</f>
        <v>#N/A</v>
      </c>
      <c r="G208" s="25">
        <v>442374</v>
      </c>
      <c r="H208" s="111" t="s">
        <v>1</v>
      </c>
      <c r="I208" s="133" t="s">
        <v>21</v>
      </c>
      <c r="J208" s="75" t="s">
        <v>21</v>
      </c>
      <c r="K208" s="75"/>
      <c r="L208" s="75"/>
      <c r="M208" s="75"/>
      <c r="N208" s="105" t="e">
        <f>_xlfn.XLOOKUP('Linhas Rápidas'!B208,COHVPI!A:A,COHVPI!I:I)</f>
        <v>#N/A</v>
      </c>
      <c r="O208" s="118" t="s">
        <v>21</v>
      </c>
      <c r="P208" s="3"/>
      <c r="Q208"/>
      <c r="R208" s="2"/>
      <c r="S208" s="2"/>
      <c r="T208" s="2"/>
      <c r="U208" s="3"/>
      <c r="V208" s="4"/>
      <c r="W208" s="4"/>
      <c r="X208" s="4"/>
      <c r="Y208"/>
      <c r="Z208"/>
      <c r="AA208"/>
      <c r="AB208"/>
      <c r="AD208" t="e">
        <f>VLOOKUP(B208,COHVPI!A:N,14,0)</f>
        <v>#N/A</v>
      </c>
      <c r="AE208" s="95" t="e">
        <f>VLOOKUP(B208,COHVPI!A:E,5,0)</f>
        <v>#N/A</v>
      </c>
      <c r="AF208" s="95" t="e">
        <f t="shared" si="10"/>
        <v>#N/A</v>
      </c>
      <c r="AI208"/>
      <c r="AJ208" s="95"/>
    </row>
    <row r="209" spans="1:36" s="27" customFormat="1" ht="15.75" customHeight="1" x14ac:dyDescent="0.25">
      <c r="A209" s="78" t="s">
        <v>21</v>
      </c>
      <c r="B209" s="74">
        <v>1961237</v>
      </c>
      <c r="C209" s="73" t="s">
        <v>637</v>
      </c>
      <c r="D209" s="26">
        <v>10000</v>
      </c>
      <c r="E209" s="77">
        <f>_xlfn.XLOOKUP(B209,COHVPI!A:A,COHVPI!E:E,0,0,1)</f>
        <v>0</v>
      </c>
      <c r="F209" s="66" t="e">
        <f>_xlfn.XLOOKUP(B209,COHVPI!A:A,COHVPI!F:F)</f>
        <v>#N/A</v>
      </c>
      <c r="G209" s="25">
        <v>442374</v>
      </c>
      <c r="H209" s="111" t="s">
        <v>1</v>
      </c>
      <c r="I209" s="133" t="s">
        <v>21</v>
      </c>
      <c r="J209" s="75" t="s">
        <v>21</v>
      </c>
      <c r="K209" s="75"/>
      <c r="L209" s="75"/>
      <c r="M209" s="75"/>
      <c r="N209" s="105" t="e">
        <f>_xlfn.XLOOKUP('Linhas Rápidas'!B209,COHVPI!A:A,COHVPI!I:I)</f>
        <v>#N/A</v>
      </c>
      <c r="O209" s="118" t="s">
        <v>21</v>
      </c>
      <c r="P209" s="3"/>
      <c r="Q209"/>
      <c r="R209" s="2"/>
      <c r="S209" s="2"/>
      <c r="T209" s="2"/>
      <c r="U209" s="3"/>
      <c r="V209" s="4"/>
      <c r="W209" s="4"/>
      <c r="X209" s="4"/>
      <c r="Y209"/>
      <c r="Z209"/>
      <c r="AA209"/>
      <c r="AB209"/>
      <c r="AD209" t="e">
        <f>VLOOKUP(B209,COHVPI!A:N,14,0)</f>
        <v>#N/A</v>
      </c>
      <c r="AE209" s="95" t="e">
        <f>VLOOKUP(B209,COHVPI!A:E,5,0)</f>
        <v>#N/A</v>
      </c>
      <c r="AF209" s="95" t="e">
        <f t="shared" ref="AF209:AF272" si="14">AE209-D209</f>
        <v>#N/A</v>
      </c>
      <c r="AI209"/>
      <c r="AJ209" s="95"/>
    </row>
    <row r="210" spans="1:36" s="27" customFormat="1" ht="15.75" customHeight="1" x14ac:dyDescent="0.25">
      <c r="A210" s="78" t="s">
        <v>21</v>
      </c>
      <c r="B210" s="74">
        <v>1961238</v>
      </c>
      <c r="C210" s="73" t="s">
        <v>638</v>
      </c>
      <c r="D210" s="26">
        <v>10000</v>
      </c>
      <c r="E210" s="77">
        <f>_xlfn.XLOOKUP(B210,COHVPI!A:A,COHVPI!E:E,0,0,1)</f>
        <v>0</v>
      </c>
      <c r="F210" s="66" t="e">
        <f>_xlfn.XLOOKUP(B210,COHVPI!A:A,COHVPI!F:F)</f>
        <v>#N/A</v>
      </c>
      <c r="G210" s="25">
        <v>442374</v>
      </c>
      <c r="H210" s="111" t="s">
        <v>1</v>
      </c>
      <c r="I210" s="133" t="s">
        <v>21</v>
      </c>
      <c r="J210" s="75" t="s">
        <v>21</v>
      </c>
      <c r="K210" s="75"/>
      <c r="L210" s="75"/>
      <c r="M210" s="75"/>
      <c r="N210" s="105" t="e">
        <f>_xlfn.XLOOKUP('Linhas Rápidas'!B210,COHVPI!A:A,COHVPI!I:I)</f>
        <v>#N/A</v>
      </c>
      <c r="O210" s="118" t="s">
        <v>21</v>
      </c>
      <c r="P210" s="3"/>
      <c r="Q210"/>
      <c r="R210" s="2"/>
      <c r="S210" s="2"/>
      <c r="T210" s="2"/>
      <c r="U210" s="3"/>
      <c r="V210" s="4"/>
      <c r="W210" s="4"/>
      <c r="X210" s="4"/>
      <c r="Y210"/>
      <c r="Z210"/>
      <c r="AA210"/>
      <c r="AB210"/>
      <c r="AD210" t="e">
        <f>VLOOKUP(B210,COHVPI!A:N,14,0)</f>
        <v>#N/A</v>
      </c>
      <c r="AE210" s="95" t="e">
        <f>VLOOKUP(B210,COHVPI!A:E,5,0)</f>
        <v>#N/A</v>
      </c>
      <c r="AF210" s="95" t="e">
        <f t="shared" si="14"/>
        <v>#N/A</v>
      </c>
      <c r="AI210"/>
      <c r="AJ210" s="95"/>
    </row>
    <row r="211" spans="1:36" s="27" customFormat="1" ht="15.75" customHeight="1" x14ac:dyDescent="0.25">
      <c r="A211" s="78" t="s">
        <v>21</v>
      </c>
      <c r="B211" s="74">
        <v>1961239</v>
      </c>
      <c r="C211" s="73" t="s">
        <v>639</v>
      </c>
      <c r="D211" s="26">
        <v>10000</v>
      </c>
      <c r="E211" s="77">
        <f>_xlfn.XLOOKUP(B211,COHVPI!A:A,COHVPI!E:E,0,0,1)</f>
        <v>0</v>
      </c>
      <c r="F211" s="66" t="e">
        <f>_xlfn.XLOOKUP(B211,COHVPI!A:A,COHVPI!F:F)</f>
        <v>#N/A</v>
      </c>
      <c r="G211" s="25">
        <v>442374</v>
      </c>
      <c r="H211" s="111" t="s">
        <v>1</v>
      </c>
      <c r="I211" s="133" t="s">
        <v>21</v>
      </c>
      <c r="J211" s="75" t="s">
        <v>21</v>
      </c>
      <c r="K211" s="75"/>
      <c r="L211" s="75"/>
      <c r="M211" s="75"/>
      <c r="N211" s="105" t="e">
        <f>_xlfn.XLOOKUP('Linhas Rápidas'!B211,COHVPI!A:A,COHVPI!I:I)</f>
        <v>#N/A</v>
      </c>
      <c r="O211" s="118" t="s">
        <v>21</v>
      </c>
      <c r="P211" s="3"/>
      <c r="Q211"/>
      <c r="R211" s="2"/>
      <c r="S211" s="2"/>
      <c r="T211" s="2"/>
      <c r="U211" s="3"/>
      <c r="V211" s="4"/>
      <c r="W211" s="4"/>
      <c r="X211" s="4"/>
      <c r="Y211"/>
      <c r="Z211"/>
      <c r="AA211"/>
      <c r="AB211"/>
      <c r="AD211" t="e">
        <f>VLOOKUP(B211,COHVPI!A:N,14,0)</f>
        <v>#N/A</v>
      </c>
      <c r="AE211" s="95" t="e">
        <f>VLOOKUP(B211,COHVPI!A:E,5,0)</f>
        <v>#N/A</v>
      </c>
      <c r="AF211" s="95" t="e">
        <f t="shared" si="14"/>
        <v>#N/A</v>
      </c>
      <c r="AI211"/>
      <c r="AJ211" s="95"/>
    </row>
    <row r="212" spans="1:36" s="27" customFormat="1" ht="15.75" customHeight="1" x14ac:dyDescent="0.25">
      <c r="A212" s="78" t="s">
        <v>21</v>
      </c>
      <c r="B212" s="74">
        <v>1961240</v>
      </c>
      <c r="C212" s="73" t="s">
        <v>640</v>
      </c>
      <c r="D212" s="26">
        <v>10000</v>
      </c>
      <c r="E212" s="77">
        <f>_xlfn.XLOOKUP(B212,COHVPI!A:A,COHVPI!E:E,0,0,1)</f>
        <v>0</v>
      </c>
      <c r="F212" s="66" t="e">
        <f>_xlfn.XLOOKUP(B212,COHVPI!A:A,COHVPI!F:F)</f>
        <v>#N/A</v>
      </c>
      <c r="G212" s="25">
        <v>442374</v>
      </c>
      <c r="H212" s="111" t="s">
        <v>1</v>
      </c>
      <c r="I212" s="133" t="s">
        <v>21</v>
      </c>
      <c r="J212" s="75" t="s">
        <v>21</v>
      </c>
      <c r="K212" s="75"/>
      <c r="L212" s="75"/>
      <c r="M212" s="75"/>
      <c r="N212" s="105" t="e">
        <f>_xlfn.XLOOKUP('Linhas Rápidas'!B212,COHVPI!A:A,COHVPI!I:I)</f>
        <v>#N/A</v>
      </c>
      <c r="O212" s="118" t="s">
        <v>21</v>
      </c>
      <c r="P212" s="3"/>
      <c r="Q212"/>
      <c r="R212" s="2"/>
      <c r="S212" s="2"/>
      <c r="T212" s="2"/>
      <c r="U212" s="3"/>
      <c r="V212" s="4"/>
      <c r="W212" s="4"/>
      <c r="X212" s="4"/>
      <c r="Y212"/>
      <c r="Z212"/>
      <c r="AA212"/>
      <c r="AB212"/>
      <c r="AD212" t="e">
        <f>VLOOKUP(B212,COHVPI!A:N,14,0)</f>
        <v>#N/A</v>
      </c>
      <c r="AE212" s="95" t="e">
        <f>VLOOKUP(B212,COHVPI!A:E,5,0)</f>
        <v>#N/A</v>
      </c>
      <c r="AF212" s="95" t="e">
        <f t="shared" si="14"/>
        <v>#N/A</v>
      </c>
      <c r="AI212"/>
      <c r="AJ212" s="95"/>
    </row>
    <row r="213" spans="1:36" s="27" customFormat="1" ht="15.75" customHeight="1" x14ac:dyDescent="0.25">
      <c r="A213" s="78" t="s">
        <v>21</v>
      </c>
      <c r="B213" s="74">
        <v>1961241</v>
      </c>
      <c r="C213" s="73" t="s">
        <v>641</v>
      </c>
      <c r="D213" s="26">
        <v>10000</v>
      </c>
      <c r="E213" s="77">
        <f>_xlfn.XLOOKUP(B213,COHVPI!A:A,COHVPI!E:E,0,0,1)</f>
        <v>0</v>
      </c>
      <c r="F213" s="66" t="e">
        <f>_xlfn.XLOOKUP(B213,COHVPI!A:A,COHVPI!F:F)</f>
        <v>#N/A</v>
      </c>
      <c r="G213" s="25">
        <v>442374</v>
      </c>
      <c r="H213" s="111" t="s">
        <v>1</v>
      </c>
      <c r="I213" s="133" t="s">
        <v>21</v>
      </c>
      <c r="J213" s="75" t="s">
        <v>21</v>
      </c>
      <c r="K213" s="75"/>
      <c r="L213" s="75"/>
      <c r="M213" s="75"/>
      <c r="N213" s="105" t="e">
        <f>_xlfn.XLOOKUP('Linhas Rápidas'!B213,COHVPI!A:A,COHVPI!I:I)</f>
        <v>#N/A</v>
      </c>
      <c r="O213" s="118" t="s">
        <v>21</v>
      </c>
      <c r="P213" s="3"/>
      <c r="Q213"/>
      <c r="R213" s="2"/>
      <c r="S213" s="2"/>
      <c r="T213" s="2"/>
      <c r="U213" s="3"/>
      <c r="V213" s="4"/>
      <c r="W213" s="4"/>
      <c r="X213" s="4"/>
      <c r="Y213"/>
      <c r="Z213"/>
      <c r="AA213"/>
      <c r="AB213"/>
      <c r="AD213" t="e">
        <f>VLOOKUP(B213,COHVPI!A:N,14,0)</f>
        <v>#N/A</v>
      </c>
      <c r="AE213" s="95" t="e">
        <f>VLOOKUP(B213,COHVPI!A:E,5,0)</f>
        <v>#N/A</v>
      </c>
      <c r="AF213" s="95" t="e">
        <f t="shared" si="14"/>
        <v>#N/A</v>
      </c>
      <c r="AI213"/>
      <c r="AJ213" s="95"/>
    </row>
    <row r="214" spans="1:36" s="27" customFormat="1" ht="15.75" customHeight="1" x14ac:dyDescent="0.25">
      <c r="A214" s="78" t="s">
        <v>21</v>
      </c>
      <c r="B214" s="74">
        <v>1961242</v>
      </c>
      <c r="C214" s="73" t="s">
        <v>642</v>
      </c>
      <c r="D214" s="26">
        <v>10000</v>
      </c>
      <c r="E214" s="77">
        <f>_xlfn.XLOOKUP(B214,COHVPI!A:A,COHVPI!E:E,0,0,1)</f>
        <v>0</v>
      </c>
      <c r="F214" s="66" t="e">
        <f>_xlfn.XLOOKUP(B214,COHVPI!A:A,COHVPI!F:F)</f>
        <v>#N/A</v>
      </c>
      <c r="G214" s="25">
        <v>442374</v>
      </c>
      <c r="H214" s="111" t="s">
        <v>1</v>
      </c>
      <c r="I214" s="133" t="s">
        <v>21</v>
      </c>
      <c r="J214" s="75" t="s">
        <v>21</v>
      </c>
      <c r="K214" s="75"/>
      <c r="L214" s="75"/>
      <c r="M214" s="75"/>
      <c r="N214" s="105" t="e">
        <f>_xlfn.XLOOKUP('Linhas Rápidas'!B214,COHVPI!A:A,COHVPI!I:I)</f>
        <v>#N/A</v>
      </c>
      <c r="O214" s="118" t="s">
        <v>21</v>
      </c>
      <c r="P214" s="3"/>
      <c r="Q214"/>
      <c r="R214" s="2"/>
      <c r="S214" s="2"/>
      <c r="T214" s="2"/>
      <c r="U214" s="3"/>
      <c r="V214" s="4"/>
      <c r="W214" s="4"/>
      <c r="X214" s="4"/>
      <c r="Y214"/>
      <c r="Z214"/>
      <c r="AA214"/>
      <c r="AB214"/>
      <c r="AD214" t="e">
        <f>VLOOKUP(B214,COHVPI!A:N,14,0)</f>
        <v>#N/A</v>
      </c>
      <c r="AE214" s="95" t="e">
        <f>VLOOKUP(B214,COHVPI!A:E,5,0)</f>
        <v>#N/A</v>
      </c>
      <c r="AF214" s="95" t="e">
        <f t="shared" si="14"/>
        <v>#N/A</v>
      </c>
      <c r="AI214"/>
      <c r="AJ214" s="95"/>
    </row>
    <row r="215" spans="1:36" s="27" customFormat="1" ht="15.75" customHeight="1" x14ac:dyDescent="0.25">
      <c r="A215" s="78" t="s">
        <v>21</v>
      </c>
      <c r="B215" s="74">
        <v>1961243</v>
      </c>
      <c r="C215" s="73" t="s">
        <v>643</v>
      </c>
      <c r="D215" s="26">
        <v>10000</v>
      </c>
      <c r="E215" s="77">
        <f>_xlfn.XLOOKUP(B215,COHVPI!A:A,COHVPI!E:E,0,0,1)</f>
        <v>0</v>
      </c>
      <c r="F215" s="66" t="e">
        <f>_xlfn.XLOOKUP(B215,COHVPI!A:A,COHVPI!F:F)</f>
        <v>#N/A</v>
      </c>
      <c r="G215" s="25">
        <v>442374</v>
      </c>
      <c r="H215" s="111" t="s">
        <v>1</v>
      </c>
      <c r="I215" s="133" t="s">
        <v>21</v>
      </c>
      <c r="J215" s="75" t="s">
        <v>21</v>
      </c>
      <c r="K215" s="75"/>
      <c r="L215" s="75"/>
      <c r="M215" s="75"/>
      <c r="N215" s="105" t="e">
        <f>_xlfn.XLOOKUP('Linhas Rápidas'!B215,COHVPI!A:A,COHVPI!I:I)</f>
        <v>#N/A</v>
      </c>
      <c r="O215" s="118" t="s">
        <v>21</v>
      </c>
      <c r="P215" s="3"/>
      <c r="Q215"/>
      <c r="R215" s="2"/>
      <c r="S215" s="2"/>
      <c r="T215" s="2"/>
      <c r="U215" s="3"/>
      <c r="V215" s="4"/>
      <c r="W215" s="4"/>
      <c r="X215" s="4"/>
      <c r="Y215"/>
      <c r="Z215"/>
      <c r="AA215"/>
      <c r="AB215"/>
      <c r="AD215" t="e">
        <f>VLOOKUP(B215,COHVPI!A:N,14,0)</f>
        <v>#N/A</v>
      </c>
      <c r="AE215" s="95" t="e">
        <f>VLOOKUP(B215,COHVPI!A:E,5,0)</f>
        <v>#N/A</v>
      </c>
      <c r="AF215" s="95" t="e">
        <f t="shared" si="14"/>
        <v>#N/A</v>
      </c>
      <c r="AI215"/>
      <c r="AJ215" s="95"/>
    </row>
    <row r="216" spans="1:36" s="27" customFormat="1" ht="15.75" customHeight="1" x14ac:dyDescent="0.25">
      <c r="A216" s="78" t="s">
        <v>21</v>
      </c>
      <c r="B216" s="74">
        <v>1961244</v>
      </c>
      <c r="C216" s="73" t="s">
        <v>644</v>
      </c>
      <c r="D216" s="26">
        <v>10000</v>
      </c>
      <c r="E216" s="77">
        <f>_xlfn.XLOOKUP(B216,COHVPI!A:A,COHVPI!E:E,0,0,1)</f>
        <v>0</v>
      </c>
      <c r="F216" s="66" t="e">
        <f>_xlfn.XLOOKUP(B216,COHVPI!A:A,COHVPI!F:F)</f>
        <v>#N/A</v>
      </c>
      <c r="G216" s="25">
        <v>442374</v>
      </c>
      <c r="H216" s="111" t="s">
        <v>1</v>
      </c>
      <c r="I216" s="133" t="s">
        <v>21</v>
      </c>
      <c r="J216" s="75" t="s">
        <v>21</v>
      </c>
      <c r="K216" s="75"/>
      <c r="L216" s="75"/>
      <c r="M216" s="75"/>
      <c r="N216" s="105" t="e">
        <f>_xlfn.XLOOKUP('Linhas Rápidas'!B216,COHVPI!A:A,COHVPI!I:I)</f>
        <v>#N/A</v>
      </c>
      <c r="O216" s="118" t="s">
        <v>21</v>
      </c>
      <c r="P216" s="3"/>
      <c r="Q216"/>
      <c r="R216" s="2"/>
      <c r="S216" s="2"/>
      <c r="T216" s="2"/>
      <c r="U216" s="3"/>
      <c r="V216" s="4"/>
      <c r="W216" s="4"/>
      <c r="X216" s="4"/>
      <c r="Y216"/>
      <c r="Z216"/>
      <c r="AA216"/>
      <c r="AB216"/>
      <c r="AD216" t="e">
        <f>VLOOKUP(B216,COHVPI!A:N,14,0)</f>
        <v>#N/A</v>
      </c>
      <c r="AE216" s="95" t="e">
        <f>VLOOKUP(B216,COHVPI!A:E,5,0)</f>
        <v>#N/A</v>
      </c>
      <c r="AF216" s="95" t="e">
        <f t="shared" si="14"/>
        <v>#N/A</v>
      </c>
      <c r="AI216"/>
      <c r="AJ216" s="95"/>
    </row>
    <row r="217" spans="1:36" s="27" customFormat="1" ht="15.75" customHeight="1" x14ac:dyDescent="0.25">
      <c r="A217" s="78" t="s">
        <v>21</v>
      </c>
      <c r="B217" s="74">
        <v>1961245</v>
      </c>
      <c r="C217" s="73" t="s">
        <v>645</v>
      </c>
      <c r="D217" s="26">
        <v>10000</v>
      </c>
      <c r="E217" s="77">
        <f>_xlfn.XLOOKUP(B217,COHVPI!A:A,COHVPI!E:E,0,0,1)</f>
        <v>0</v>
      </c>
      <c r="F217" s="66" t="e">
        <f>_xlfn.XLOOKUP(B217,COHVPI!A:A,COHVPI!F:F)</f>
        <v>#N/A</v>
      </c>
      <c r="G217" s="25">
        <v>442374</v>
      </c>
      <c r="H217" s="111" t="s">
        <v>1</v>
      </c>
      <c r="I217" s="133" t="s">
        <v>21</v>
      </c>
      <c r="J217" s="75" t="s">
        <v>21</v>
      </c>
      <c r="K217" s="75"/>
      <c r="L217" s="75"/>
      <c r="M217" s="75"/>
      <c r="N217" s="105" t="e">
        <f>_xlfn.XLOOKUP('Linhas Rápidas'!B217,COHVPI!A:A,COHVPI!I:I)</f>
        <v>#N/A</v>
      </c>
      <c r="O217" s="118" t="s">
        <v>21</v>
      </c>
      <c r="P217" s="3"/>
      <c r="Q217"/>
      <c r="R217" s="2"/>
      <c r="S217" s="2"/>
      <c r="T217" s="2"/>
      <c r="U217" s="3"/>
      <c r="V217" s="4"/>
      <c r="W217" s="4"/>
      <c r="X217" s="4"/>
      <c r="Y217"/>
      <c r="Z217"/>
      <c r="AA217"/>
      <c r="AB217"/>
      <c r="AD217" t="e">
        <f>VLOOKUP(B217,COHVPI!A:N,14,0)</f>
        <v>#N/A</v>
      </c>
      <c r="AE217" s="95" t="e">
        <f>VLOOKUP(B217,COHVPI!A:E,5,0)</f>
        <v>#N/A</v>
      </c>
      <c r="AF217" s="95" t="e">
        <f t="shared" si="14"/>
        <v>#N/A</v>
      </c>
      <c r="AI217"/>
      <c r="AJ217" s="95"/>
    </row>
    <row r="218" spans="1:36" s="27" customFormat="1" ht="15.75" customHeight="1" x14ac:dyDescent="0.25">
      <c r="A218" s="78" t="s">
        <v>21</v>
      </c>
      <c r="B218" s="74">
        <v>1961246</v>
      </c>
      <c r="C218" s="73" t="s">
        <v>646</v>
      </c>
      <c r="D218" s="26">
        <v>10000</v>
      </c>
      <c r="E218" s="77">
        <f>_xlfn.XLOOKUP(B218,COHVPI!A:A,COHVPI!E:E,0,0,1)</f>
        <v>0</v>
      </c>
      <c r="F218" s="66" t="e">
        <f>_xlfn.XLOOKUP(B218,COHVPI!A:A,COHVPI!F:F)</f>
        <v>#N/A</v>
      </c>
      <c r="G218" s="25">
        <v>442374</v>
      </c>
      <c r="H218" s="111" t="s">
        <v>1</v>
      </c>
      <c r="I218" s="133" t="s">
        <v>21</v>
      </c>
      <c r="J218" s="75" t="s">
        <v>21</v>
      </c>
      <c r="K218" s="75"/>
      <c r="L218" s="75"/>
      <c r="M218" s="75"/>
      <c r="N218" s="105" t="e">
        <f>_xlfn.XLOOKUP('Linhas Rápidas'!B218,COHVPI!A:A,COHVPI!I:I)</f>
        <v>#N/A</v>
      </c>
      <c r="O218" s="118" t="s">
        <v>21</v>
      </c>
      <c r="P218" s="3"/>
      <c r="Q218"/>
      <c r="R218" s="2"/>
      <c r="S218" s="2"/>
      <c r="T218" s="2"/>
      <c r="U218" s="3"/>
      <c r="V218" s="4"/>
      <c r="W218" s="4"/>
      <c r="X218" s="4"/>
      <c r="Y218"/>
      <c r="Z218"/>
      <c r="AA218"/>
      <c r="AB218"/>
      <c r="AD218" t="e">
        <f>VLOOKUP(B218,COHVPI!A:N,14,0)</f>
        <v>#N/A</v>
      </c>
      <c r="AE218" s="95" t="e">
        <f>VLOOKUP(B218,COHVPI!A:E,5,0)</f>
        <v>#N/A</v>
      </c>
      <c r="AF218" s="95" t="e">
        <f t="shared" si="14"/>
        <v>#N/A</v>
      </c>
      <c r="AI218"/>
      <c r="AJ218" s="95"/>
    </row>
    <row r="219" spans="1:36" ht="15.75" customHeight="1" thickBot="1" x14ac:dyDescent="0.3">
      <c r="A219" s="15"/>
      <c r="B219" s="13"/>
      <c r="C219" s="13"/>
      <c r="D219" s="76"/>
      <c r="E219" s="13"/>
      <c r="F219" s="13"/>
      <c r="G219" s="13"/>
      <c r="H219" s="13"/>
      <c r="I219" s="12"/>
      <c r="J219" s="12"/>
      <c r="K219" s="33"/>
      <c r="L219" s="33"/>
      <c r="M219" s="33"/>
      <c r="N219" s="33"/>
      <c r="O219" s="164"/>
      <c r="P219" s="3"/>
      <c r="Z219"/>
      <c r="AA219"/>
      <c r="AB219"/>
      <c r="AD219" t="e">
        <f>VLOOKUP(B219,COHVPI!A:N,14,0)</f>
        <v>#N/A</v>
      </c>
      <c r="AE219" s="95" t="e">
        <f>VLOOKUP(B219,COHVPI!A:E,5,0)</f>
        <v>#N/A</v>
      </c>
      <c r="AF219" s="95" t="e">
        <f t="shared" si="14"/>
        <v>#N/A</v>
      </c>
      <c r="AJ219" s="95"/>
    </row>
    <row r="220" spans="1:36" x14ac:dyDescent="0.25">
      <c r="Z220"/>
      <c r="AA220"/>
      <c r="AB220"/>
      <c r="AD220" t="e">
        <f>VLOOKUP(B220,COHVPI!A:N,14,0)</f>
        <v>#N/A</v>
      </c>
      <c r="AE220" s="95" t="e">
        <f>VLOOKUP(B220,COHVPI!A:E,5,0)</f>
        <v>#N/A</v>
      </c>
      <c r="AF220" s="95" t="e">
        <f t="shared" si="14"/>
        <v>#N/A</v>
      </c>
      <c r="AJ220" s="95"/>
    </row>
    <row r="221" spans="1:36" x14ac:dyDescent="0.25">
      <c r="Z221"/>
      <c r="AA221"/>
      <c r="AB221"/>
      <c r="AD221" t="e">
        <f>VLOOKUP(B221,COHVPI!A:N,14,0)</f>
        <v>#N/A</v>
      </c>
      <c r="AE221" s="95" t="e">
        <f>VLOOKUP(B221,COHVPI!A:E,5,0)</f>
        <v>#N/A</v>
      </c>
      <c r="AF221" s="95" t="e">
        <f t="shared" si="14"/>
        <v>#N/A</v>
      </c>
      <c r="AJ221" s="95"/>
    </row>
    <row r="222" spans="1:36" x14ac:dyDescent="0.25">
      <c r="Z222"/>
      <c r="AA222"/>
      <c r="AB222"/>
      <c r="AD222" t="e">
        <f>VLOOKUP(B222,COHVPI!A:N,14,0)</f>
        <v>#N/A</v>
      </c>
      <c r="AE222" s="95" t="e">
        <f>VLOOKUP(B222,COHVPI!A:E,5,0)</f>
        <v>#N/A</v>
      </c>
      <c r="AF222" s="95" t="e">
        <f t="shared" si="14"/>
        <v>#N/A</v>
      </c>
      <c r="AJ222" s="95"/>
    </row>
    <row r="223" spans="1:36" x14ac:dyDescent="0.25">
      <c r="Z223"/>
      <c r="AA223"/>
      <c r="AB223"/>
      <c r="AD223" t="e">
        <f>VLOOKUP(B223,COHVPI!A:N,14,0)</f>
        <v>#N/A</v>
      </c>
      <c r="AE223" s="95" t="e">
        <f>VLOOKUP(B223,COHVPI!A:E,5,0)</f>
        <v>#N/A</v>
      </c>
      <c r="AF223" s="95" t="e">
        <f t="shared" si="14"/>
        <v>#N/A</v>
      </c>
      <c r="AJ223" s="95"/>
    </row>
    <row r="224" spans="1:36" x14ac:dyDescent="0.25">
      <c r="Z224"/>
      <c r="AA224"/>
      <c r="AB224"/>
      <c r="AD224" t="e">
        <f>VLOOKUP(B224,COHVPI!A:N,14,0)</f>
        <v>#N/A</v>
      </c>
      <c r="AE224" s="95" t="e">
        <f>VLOOKUP(B224,COHVPI!A:E,5,0)</f>
        <v>#N/A</v>
      </c>
      <c r="AF224" s="95" t="e">
        <f t="shared" si="14"/>
        <v>#N/A</v>
      </c>
      <c r="AJ224" s="95"/>
    </row>
    <row r="225" spans="26:36" x14ac:dyDescent="0.25">
      <c r="Z225"/>
      <c r="AA225"/>
      <c r="AB225"/>
      <c r="AD225" t="e">
        <f>VLOOKUP(B225,COHVPI!A:N,14,0)</f>
        <v>#N/A</v>
      </c>
      <c r="AE225" s="95" t="e">
        <f>VLOOKUP(B225,COHVPI!A:E,5,0)</f>
        <v>#N/A</v>
      </c>
      <c r="AF225" s="95" t="e">
        <f t="shared" si="14"/>
        <v>#N/A</v>
      </c>
      <c r="AJ225" s="95"/>
    </row>
    <row r="226" spans="26:36" x14ac:dyDescent="0.25">
      <c r="Z226"/>
      <c r="AA226"/>
      <c r="AB226"/>
      <c r="AD226" t="e">
        <f>VLOOKUP(B226,COHVPI!A:N,14,0)</f>
        <v>#N/A</v>
      </c>
      <c r="AE226" s="95" t="e">
        <f>VLOOKUP(B226,COHVPI!A:E,5,0)</f>
        <v>#N/A</v>
      </c>
      <c r="AF226" s="95" t="e">
        <f t="shared" si="14"/>
        <v>#N/A</v>
      </c>
      <c r="AJ226" s="95"/>
    </row>
    <row r="227" spans="26:36" x14ac:dyDescent="0.25">
      <c r="Z227"/>
      <c r="AA227"/>
      <c r="AB227"/>
      <c r="AD227" t="e">
        <f>VLOOKUP(B227,COHVPI!A:N,14,0)</f>
        <v>#N/A</v>
      </c>
      <c r="AE227" s="95" t="e">
        <f>VLOOKUP(B227,COHVPI!A:E,5,0)</f>
        <v>#N/A</v>
      </c>
      <c r="AF227" s="95" t="e">
        <f t="shared" si="14"/>
        <v>#N/A</v>
      </c>
      <c r="AJ227" s="95"/>
    </row>
    <row r="228" spans="26:36" x14ac:dyDescent="0.25">
      <c r="Z228"/>
      <c r="AA228"/>
      <c r="AB228"/>
      <c r="AD228" t="e">
        <f>VLOOKUP(B228,COHVPI!A:N,14,0)</f>
        <v>#N/A</v>
      </c>
      <c r="AE228" s="95" t="e">
        <f>VLOOKUP(B228,COHVPI!A:E,5,0)</f>
        <v>#N/A</v>
      </c>
      <c r="AF228" s="95" t="e">
        <f t="shared" si="14"/>
        <v>#N/A</v>
      </c>
      <c r="AJ228" s="95"/>
    </row>
    <row r="229" spans="26:36" x14ac:dyDescent="0.25">
      <c r="Z229"/>
      <c r="AA229"/>
      <c r="AB229"/>
      <c r="AD229" t="e">
        <f>VLOOKUP(B229,COHVPI!A:N,14,0)</f>
        <v>#N/A</v>
      </c>
      <c r="AE229" s="95" t="e">
        <f>VLOOKUP(B229,COHVPI!A:E,5,0)</f>
        <v>#N/A</v>
      </c>
      <c r="AF229" s="95" t="e">
        <f t="shared" si="14"/>
        <v>#N/A</v>
      </c>
      <c r="AJ229" s="95"/>
    </row>
    <row r="230" spans="26:36" x14ac:dyDescent="0.25">
      <c r="Z230"/>
      <c r="AA230"/>
      <c r="AB230"/>
      <c r="AD230" t="e">
        <f>VLOOKUP(B230,COHVPI!A:N,14,0)</f>
        <v>#N/A</v>
      </c>
      <c r="AE230" s="95" t="e">
        <f>VLOOKUP(B230,COHVPI!A:E,5,0)</f>
        <v>#N/A</v>
      </c>
      <c r="AF230" s="95" t="e">
        <f t="shared" si="14"/>
        <v>#N/A</v>
      </c>
      <c r="AJ230" s="95"/>
    </row>
    <row r="231" spans="26:36" x14ac:dyDescent="0.25">
      <c r="Z231"/>
      <c r="AA231"/>
      <c r="AB231"/>
      <c r="AD231" t="e">
        <f>VLOOKUP(B231,COHVPI!A:N,14,0)</f>
        <v>#N/A</v>
      </c>
      <c r="AE231" s="95" t="e">
        <f>VLOOKUP(B231,COHVPI!A:E,5,0)</f>
        <v>#N/A</v>
      </c>
      <c r="AF231" s="95" t="e">
        <f t="shared" si="14"/>
        <v>#N/A</v>
      </c>
      <c r="AJ231" s="95"/>
    </row>
    <row r="232" spans="26:36" x14ac:dyDescent="0.25">
      <c r="Z232"/>
      <c r="AA232"/>
      <c r="AB232"/>
      <c r="AD232" t="e">
        <f>VLOOKUP(B232,COHVPI!A:N,14,0)</f>
        <v>#N/A</v>
      </c>
      <c r="AE232" s="95" t="e">
        <f>VLOOKUP(B232,COHVPI!A:E,5,0)</f>
        <v>#N/A</v>
      </c>
      <c r="AF232" s="95" t="e">
        <f t="shared" si="14"/>
        <v>#N/A</v>
      </c>
      <c r="AJ232" s="95"/>
    </row>
    <row r="233" spans="26:36" x14ac:dyDescent="0.25">
      <c r="Z233"/>
      <c r="AA233"/>
      <c r="AB233"/>
      <c r="AD233" t="e">
        <f>VLOOKUP(B233,COHVPI!A:N,14,0)</f>
        <v>#N/A</v>
      </c>
      <c r="AE233" s="95" t="e">
        <f>VLOOKUP(B233,COHVPI!A:E,5,0)</f>
        <v>#N/A</v>
      </c>
      <c r="AF233" s="95" t="e">
        <f t="shared" si="14"/>
        <v>#N/A</v>
      </c>
      <c r="AJ233" s="95"/>
    </row>
    <row r="234" spans="26:36" x14ac:dyDescent="0.25">
      <c r="Z234"/>
      <c r="AA234"/>
      <c r="AB234"/>
      <c r="AD234" t="e">
        <f>VLOOKUP(B234,COHVPI!A:N,14,0)</f>
        <v>#N/A</v>
      </c>
      <c r="AE234" s="95" t="e">
        <f>VLOOKUP(B234,COHVPI!A:E,5,0)</f>
        <v>#N/A</v>
      </c>
      <c r="AF234" s="95" t="e">
        <f t="shared" si="14"/>
        <v>#N/A</v>
      </c>
      <c r="AJ234" s="95"/>
    </row>
    <row r="235" spans="26:36" x14ac:dyDescent="0.25">
      <c r="Z235"/>
      <c r="AA235"/>
      <c r="AB235"/>
      <c r="AD235" t="e">
        <f>VLOOKUP(B235,COHVPI!A:N,14,0)</f>
        <v>#N/A</v>
      </c>
      <c r="AE235" s="95" t="e">
        <f>VLOOKUP(B235,COHVPI!A:E,5,0)</f>
        <v>#N/A</v>
      </c>
      <c r="AF235" s="95" t="e">
        <f t="shared" si="14"/>
        <v>#N/A</v>
      </c>
      <c r="AJ235" s="95"/>
    </row>
    <row r="236" spans="26:36" x14ac:dyDescent="0.25">
      <c r="Z236"/>
      <c r="AA236"/>
      <c r="AB236" s="95"/>
      <c r="AD236" t="e">
        <f>VLOOKUP(B236,COHVPI!A:N,14,0)</f>
        <v>#N/A</v>
      </c>
      <c r="AE236" s="95" t="e">
        <f>VLOOKUP(B236,COHVPI!A:E,5,0)</f>
        <v>#N/A</v>
      </c>
      <c r="AF236" s="95" t="e">
        <f t="shared" si="14"/>
        <v>#N/A</v>
      </c>
      <c r="AJ236" s="95"/>
    </row>
    <row r="237" spans="26:36" x14ac:dyDescent="0.25">
      <c r="Z237"/>
      <c r="AA237"/>
      <c r="AB237" s="95"/>
      <c r="AD237" t="e">
        <f>VLOOKUP(B237,COHVPI!A:N,14,0)</f>
        <v>#N/A</v>
      </c>
      <c r="AE237" s="95" t="e">
        <f>VLOOKUP(B237,COHVPI!A:E,5,0)</f>
        <v>#N/A</v>
      </c>
      <c r="AF237" s="95" t="e">
        <f t="shared" si="14"/>
        <v>#N/A</v>
      </c>
      <c r="AJ237" s="95"/>
    </row>
    <row r="238" spans="26:36" x14ac:dyDescent="0.25">
      <c r="Z238"/>
      <c r="AA238"/>
      <c r="AB238" s="95"/>
      <c r="AD238" t="e">
        <f>VLOOKUP(B238,COHVPI!A:N,14,0)</f>
        <v>#N/A</v>
      </c>
      <c r="AE238" s="95" t="e">
        <f>VLOOKUP(B238,COHVPI!A:E,5,0)</f>
        <v>#N/A</v>
      </c>
      <c r="AF238" s="95" t="e">
        <f t="shared" si="14"/>
        <v>#N/A</v>
      </c>
      <c r="AJ238" s="95"/>
    </row>
    <row r="239" spans="26:36" x14ac:dyDescent="0.25">
      <c r="Z239"/>
      <c r="AA239"/>
      <c r="AB239" s="95"/>
      <c r="AD239" t="e">
        <f>VLOOKUP(B239,COHVPI!A:N,14,0)</f>
        <v>#N/A</v>
      </c>
      <c r="AE239" s="95" t="e">
        <f>VLOOKUP(B239,COHVPI!A:E,5,0)</f>
        <v>#N/A</v>
      </c>
      <c r="AF239" s="95" t="e">
        <f t="shared" si="14"/>
        <v>#N/A</v>
      </c>
      <c r="AJ239" s="95"/>
    </row>
    <row r="240" spans="26:36" x14ac:dyDescent="0.25">
      <c r="Z240"/>
      <c r="AA240"/>
      <c r="AB240" s="95"/>
      <c r="AD240" t="e">
        <f>VLOOKUP(B240,COHVPI!A:N,14,0)</f>
        <v>#N/A</v>
      </c>
      <c r="AE240" s="95" t="e">
        <f>VLOOKUP(B240,COHVPI!A:E,5,0)</f>
        <v>#N/A</v>
      </c>
      <c r="AF240" s="95" t="e">
        <f t="shared" si="14"/>
        <v>#N/A</v>
      </c>
      <c r="AJ240" s="95"/>
    </row>
    <row r="241" spans="26:36" x14ac:dyDescent="0.25">
      <c r="Z241"/>
      <c r="AA241"/>
      <c r="AB241" s="99"/>
      <c r="AD241" t="e">
        <f>VLOOKUP(B241,COHVPI!A:N,14,0)</f>
        <v>#N/A</v>
      </c>
      <c r="AE241" s="95" t="e">
        <f>VLOOKUP(B241,COHVPI!A:E,5,0)</f>
        <v>#N/A</v>
      </c>
      <c r="AF241" s="95" t="e">
        <f t="shared" si="14"/>
        <v>#N/A</v>
      </c>
      <c r="AJ241" s="95"/>
    </row>
    <row r="242" spans="26:36" x14ac:dyDescent="0.25">
      <c r="Z242"/>
      <c r="AA242"/>
      <c r="AB242" s="99"/>
      <c r="AD242" t="e">
        <f>VLOOKUP(B242,COHVPI!A:N,14,0)</f>
        <v>#N/A</v>
      </c>
      <c r="AE242" s="95" t="e">
        <f>VLOOKUP(B242,COHVPI!A:E,5,0)</f>
        <v>#N/A</v>
      </c>
      <c r="AF242" s="95" t="e">
        <f t="shared" si="14"/>
        <v>#N/A</v>
      </c>
      <c r="AJ242" s="95"/>
    </row>
    <row r="243" spans="26:36" x14ac:dyDescent="0.25">
      <c r="Z243"/>
      <c r="AA243"/>
      <c r="AB243" s="99"/>
      <c r="AD243" t="e">
        <f>VLOOKUP(B243,COHVPI!A:N,14,0)</f>
        <v>#N/A</v>
      </c>
      <c r="AE243" s="95" t="e">
        <f>VLOOKUP(B243,COHVPI!A:E,5,0)</f>
        <v>#N/A</v>
      </c>
      <c r="AF243" s="95" t="e">
        <f t="shared" si="14"/>
        <v>#N/A</v>
      </c>
      <c r="AJ243" s="95"/>
    </row>
    <row r="244" spans="26:36" x14ac:dyDescent="0.25">
      <c r="Z244"/>
      <c r="AA244"/>
      <c r="AB244" s="99"/>
      <c r="AD244" t="e">
        <f>VLOOKUP(B244,COHVPI!A:N,14,0)</f>
        <v>#N/A</v>
      </c>
      <c r="AE244" s="95" t="e">
        <f>VLOOKUP(B244,COHVPI!A:E,5,0)</f>
        <v>#N/A</v>
      </c>
      <c r="AF244" s="95" t="e">
        <f t="shared" si="14"/>
        <v>#N/A</v>
      </c>
    </row>
    <row r="245" spans="26:36" x14ac:dyDescent="0.25">
      <c r="Z245"/>
      <c r="AA245"/>
      <c r="AB245" s="99"/>
      <c r="AD245" t="e">
        <f>VLOOKUP(B245,COHVPI!A:N,14,0)</f>
        <v>#N/A</v>
      </c>
      <c r="AE245" s="95" t="e">
        <f>VLOOKUP(B245,COHVPI!A:E,5,0)</f>
        <v>#N/A</v>
      </c>
      <c r="AF245" s="95" t="e">
        <f t="shared" si="14"/>
        <v>#N/A</v>
      </c>
    </row>
    <row r="246" spans="26:36" x14ac:dyDescent="0.25">
      <c r="Z246"/>
      <c r="AA246"/>
      <c r="AB246" s="99"/>
      <c r="AD246" t="e">
        <f>VLOOKUP(B246,COHVPI!A:N,14,0)</f>
        <v>#N/A</v>
      </c>
      <c r="AE246" s="95" t="e">
        <f>VLOOKUP(B246,COHVPI!A:E,5,0)</f>
        <v>#N/A</v>
      </c>
      <c r="AF246" s="95" t="e">
        <f t="shared" si="14"/>
        <v>#N/A</v>
      </c>
    </row>
    <row r="247" spans="26:36" x14ac:dyDescent="0.25">
      <c r="Z247"/>
      <c r="AA247"/>
      <c r="AB247" s="99"/>
      <c r="AD247" t="e">
        <f>VLOOKUP(B247,COHVPI!A:N,14,0)</f>
        <v>#N/A</v>
      </c>
      <c r="AE247" s="95" t="e">
        <f>VLOOKUP(B247,COHVPI!A:E,5,0)</f>
        <v>#N/A</v>
      </c>
      <c r="AF247" s="95" t="e">
        <f t="shared" si="14"/>
        <v>#N/A</v>
      </c>
    </row>
    <row r="248" spans="26:36" x14ac:dyDescent="0.25">
      <c r="Z248"/>
      <c r="AA248"/>
      <c r="AD248" t="e">
        <f>VLOOKUP(B248,COHVPI!A:N,14,0)</f>
        <v>#N/A</v>
      </c>
      <c r="AE248" s="95" t="e">
        <f>VLOOKUP(B248,COHVPI!A:E,5,0)</f>
        <v>#N/A</v>
      </c>
      <c r="AF248" s="95" t="e">
        <f t="shared" si="14"/>
        <v>#N/A</v>
      </c>
    </row>
    <row r="249" spans="26:36" x14ac:dyDescent="0.25">
      <c r="Z249"/>
      <c r="AA249"/>
      <c r="AD249" t="e">
        <f>VLOOKUP(B249,COHVPI!A:N,14,0)</f>
        <v>#N/A</v>
      </c>
      <c r="AE249" s="95" t="e">
        <f>VLOOKUP(B249,COHVPI!A:E,5,0)</f>
        <v>#N/A</v>
      </c>
      <c r="AF249" s="95" t="e">
        <f t="shared" si="14"/>
        <v>#N/A</v>
      </c>
    </row>
    <row r="250" spans="26:36" x14ac:dyDescent="0.25">
      <c r="Z250"/>
      <c r="AA250"/>
      <c r="AD250" t="e">
        <f>VLOOKUP(B250,COHVPI!A:N,14,0)</f>
        <v>#N/A</v>
      </c>
      <c r="AE250" s="95" t="e">
        <f>VLOOKUP(B250,COHVPI!A:E,5,0)</f>
        <v>#N/A</v>
      </c>
      <c r="AF250" s="95" t="e">
        <f t="shared" si="14"/>
        <v>#N/A</v>
      </c>
    </row>
    <row r="251" spans="26:36" x14ac:dyDescent="0.25">
      <c r="Z251"/>
      <c r="AA251"/>
      <c r="AD251" t="e">
        <f>VLOOKUP(B251,COHVPI!A:N,14,0)</f>
        <v>#N/A</v>
      </c>
      <c r="AE251" s="95" t="e">
        <f>VLOOKUP(B251,COHVPI!A:E,5,0)</f>
        <v>#N/A</v>
      </c>
      <c r="AF251" s="95" t="e">
        <f t="shared" si="14"/>
        <v>#N/A</v>
      </c>
    </row>
    <row r="252" spans="26:36" x14ac:dyDescent="0.25">
      <c r="Z252"/>
      <c r="AA252"/>
      <c r="AB252" s="67"/>
      <c r="AD252" t="e">
        <f>VLOOKUP(B252,COHVPI!A:N,14,0)</f>
        <v>#N/A</v>
      </c>
      <c r="AE252" s="95" t="e">
        <f>VLOOKUP(B252,COHVPI!A:E,5,0)</f>
        <v>#N/A</v>
      </c>
      <c r="AF252" s="95" t="e">
        <f t="shared" si="14"/>
        <v>#N/A</v>
      </c>
    </row>
    <row r="253" spans="26:36" x14ac:dyDescent="0.25">
      <c r="Z253"/>
      <c r="AA253"/>
      <c r="AB253" s="67"/>
      <c r="AD253" t="e">
        <f>VLOOKUP(B253,COHVPI!A:N,14,0)</f>
        <v>#N/A</v>
      </c>
      <c r="AE253" s="95" t="e">
        <f>VLOOKUP(B253,COHVPI!A:E,5,0)</f>
        <v>#N/A</v>
      </c>
      <c r="AF253" s="95" t="e">
        <f t="shared" si="14"/>
        <v>#N/A</v>
      </c>
    </row>
    <row r="254" spans="26:36" x14ac:dyDescent="0.25">
      <c r="Z254"/>
      <c r="AA254"/>
      <c r="AB254" s="67"/>
      <c r="AD254" t="e">
        <f>VLOOKUP(B254,COHVPI!A:N,14,0)</f>
        <v>#N/A</v>
      </c>
      <c r="AE254" s="95" t="e">
        <f>VLOOKUP(B254,COHVPI!A:E,5,0)</f>
        <v>#N/A</v>
      </c>
      <c r="AF254" s="95" t="e">
        <f t="shared" si="14"/>
        <v>#N/A</v>
      </c>
    </row>
    <row r="255" spans="26:36" x14ac:dyDescent="0.25">
      <c r="AB255" s="67"/>
      <c r="AD255" t="e">
        <f>VLOOKUP(B255,COHVPI!A:N,14,0)</f>
        <v>#N/A</v>
      </c>
      <c r="AE255" s="95" t="e">
        <f>VLOOKUP(B255,COHVPI!A:E,5,0)</f>
        <v>#N/A</v>
      </c>
      <c r="AF255" s="95" t="e">
        <f t="shared" si="14"/>
        <v>#N/A</v>
      </c>
    </row>
    <row r="256" spans="26:36" x14ac:dyDescent="0.25">
      <c r="AB256" s="67"/>
      <c r="AD256" t="e">
        <f>VLOOKUP(B256,COHVPI!A:N,14,0)</f>
        <v>#N/A</v>
      </c>
      <c r="AE256" s="95" t="e">
        <f>VLOOKUP(B256,COHVPI!A:E,5,0)</f>
        <v>#N/A</v>
      </c>
      <c r="AF256" s="95" t="e">
        <f t="shared" si="14"/>
        <v>#N/A</v>
      </c>
    </row>
    <row r="257" spans="28:32" x14ac:dyDescent="0.25">
      <c r="AB257" s="67"/>
      <c r="AD257" t="e">
        <f>VLOOKUP(B257,COHVPI!A:N,14,0)</f>
        <v>#N/A</v>
      </c>
      <c r="AE257" s="95" t="e">
        <f>VLOOKUP(B257,COHVPI!A:E,5,0)</f>
        <v>#N/A</v>
      </c>
      <c r="AF257" s="95" t="e">
        <f t="shared" si="14"/>
        <v>#N/A</v>
      </c>
    </row>
    <row r="258" spans="28:32" x14ac:dyDescent="0.25">
      <c r="AB258" s="67"/>
      <c r="AD258" t="e">
        <f>VLOOKUP(B258,COHVPI!A:N,14,0)</f>
        <v>#N/A</v>
      </c>
      <c r="AE258" s="95" t="e">
        <f>VLOOKUP(B258,COHVPI!A:E,5,0)</f>
        <v>#N/A</v>
      </c>
      <c r="AF258" s="95" t="e">
        <f t="shared" si="14"/>
        <v>#N/A</v>
      </c>
    </row>
    <row r="259" spans="28:32" x14ac:dyDescent="0.25">
      <c r="AB259" s="67"/>
      <c r="AD259" t="e">
        <f>VLOOKUP(B259,COHVPI!A:N,14,0)</f>
        <v>#N/A</v>
      </c>
      <c r="AE259" s="95" t="e">
        <f>VLOOKUP(B259,COHVPI!A:E,5,0)</f>
        <v>#N/A</v>
      </c>
      <c r="AF259" s="95" t="e">
        <f t="shared" si="14"/>
        <v>#N/A</v>
      </c>
    </row>
    <row r="260" spans="28:32" x14ac:dyDescent="0.25">
      <c r="AD260" t="e">
        <f>VLOOKUP(B260,COHVPI!A:N,14,0)</f>
        <v>#N/A</v>
      </c>
      <c r="AE260" s="95" t="e">
        <f>VLOOKUP(B260,COHVPI!A:E,5,0)</f>
        <v>#N/A</v>
      </c>
      <c r="AF260" s="95" t="e">
        <f t="shared" si="14"/>
        <v>#N/A</v>
      </c>
    </row>
    <row r="261" spans="28:32" x14ac:dyDescent="0.25">
      <c r="AD261" t="e">
        <f>VLOOKUP(B261,COHVPI!A:N,14,0)</f>
        <v>#N/A</v>
      </c>
      <c r="AE261" s="95" t="e">
        <f>VLOOKUP(B261,COHVPI!A:E,5,0)</f>
        <v>#N/A</v>
      </c>
      <c r="AF261" s="95" t="e">
        <f t="shared" si="14"/>
        <v>#N/A</v>
      </c>
    </row>
    <row r="262" spans="28:32" x14ac:dyDescent="0.25">
      <c r="AD262" t="e">
        <f>VLOOKUP(B262,COHVPI!A:N,14,0)</f>
        <v>#N/A</v>
      </c>
      <c r="AE262" s="95" t="e">
        <f>VLOOKUP(B262,COHVPI!A:E,5,0)</f>
        <v>#N/A</v>
      </c>
      <c r="AF262" s="95" t="e">
        <f t="shared" si="14"/>
        <v>#N/A</v>
      </c>
    </row>
    <row r="263" spans="28:32" x14ac:dyDescent="0.25">
      <c r="AD263" t="e">
        <f>VLOOKUP(B263,COHVPI!A:N,14,0)</f>
        <v>#N/A</v>
      </c>
      <c r="AE263" s="95" t="e">
        <f>VLOOKUP(B263,COHVPI!A:E,5,0)</f>
        <v>#N/A</v>
      </c>
      <c r="AF263" s="95" t="e">
        <f t="shared" si="14"/>
        <v>#N/A</v>
      </c>
    </row>
    <row r="264" spans="28:32" x14ac:dyDescent="0.25">
      <c r="AD264" t="e">
        <f>VLOOKUP(B264,COHVPI!A:N,14,0)</f>
        <v>#N/A</v>
      </c>
      <c r="AE264" s="95" t="e">
        <f>VLOOKUP(B264,COHVPI!A:E,5,0)</f>
        <v>#N/A</v>
      </c>
      <c r="AF264" s="95" t="e">
        <f t="shared" si="14"/>
        <v>#N/A</v>
      </c>
    </row>
    <row r="265" spans="28:32" x14ac:dyDescent="0.25">
      <c r="AD265" t="e">
        <f>VLOOKUP(B265,COHVPI!A:N,14,0)</f>
        <v>#N/A</v>
      </c>
      <c r="AE265" s="95" t="e">
        <f>VLOOKUP(B265,COHVPI!A:E,5,0)</f>
        <v>#N/A</v>
      </c>
      <c r="AF265" s="95" t="e">
        <f t="shared" si="14"/>
        <v>#N/A</v>
      </c>
    </row>
    <row r="266" spans="28:32" x14ac:dyDescent="0.25">
      <c r="AD266" t="e">
        <f>VLOOKUP(B266,COHVPI!A:N,14,0)</f>
        <v>#N/A</v>
      </c>
      <c r="AE266" s="95" t="e">
        <f>VLOOKUP(B266,COHVPI!A:E,5,0)</f>
        <v>#N/A</v>
      </c>
      <c r="AF266" s="95" t="e">
        <f t="shared" si="14"/>
        <v>#N/A</v>
      </c>
    </row>
    <row r="267" spans="28:32" x14ac:dyDescent="0.25">
      <c r="AD267" t="e">
        <f>VLOOKUP(B267,COHVPI!A:N,14,0)</f>
        <v>#N/A</v>
      </c>
      <c r="AE267" s="95" t="e">
        <f>VLOOKUP(B267,COHVPI!A:E,5,0)</f>
        <v>#N/A</v>
      </c>
      <c r="AF267" s="95" t="e">
        <f t="shared" si="14"/>
        <v>#N/A</v>
      </c>
    </row>
    <row r="268" spans="28:32" x14ac:dyDescent="0.25">
      <c r="AD268" t="e">
        <f>VLOOKUP(B268,COHVPI!A:N,14,0)</f>
        <v>#N/A</v>
      </c>
      <c r="AE268" s="95" t="e">
        <f>VLOOKUP(B268,COHVPI!A:E,5,0)</f>
        <v>#N/A</v>
      </c>
      <c r="AF268" s="95" t="e">
        <f t="shared" si="14"/>
        <v>#N/A</v>
      </c>
    </row>
    <row r="269" spans="28:32" x14ac:dyDescent="0.25">
      <c r="AD269" t="e">
        <f>VLOOKUP(B269,COHVPI!A:N,14,0)</f>
        <v>#N/A</v>
      </c>
      <c r="AE269" s="95" t="e">
        <f>VLOOKUP(B269,COHVPI!A:E,5,0)</f>
        <v>#N/A</v>
      </c>
      <c r="AF269" s="95" t="e">
        <f t="shared" si="14"/>
        <v>#N/A</v>
      </c>
    </row>
    <row r="270" spans="28:32" x14ac:dyDescent="0.25">
      <c r="AD270" t="e">
        <f>VLOOKUP(B270,COHVPI!A:N,14,0)</f>
        <v>#N/A</v>
      </c>
      <c r="AE270" s="95" t="e">
        <f>VLOOKUP(B270,COHVPI!A:E,5,0)</f>
        <v>#N/A</v>
      </c>
      <c r="AF270" s="95" t="e">
        <f t="shared" si="14"/>
        <v>#N/A</v>
      </c>
    </row>
    <row r="271" spans="28:32" x14ac:dyDescent="0.25">
      <c r="AD271" t="e">
        <f>VLOOKUP(B271,COHVPI!A:N,14,0)</f>
        <v>#N/A</v>
      </c>
      <c r="AE271" s="95" t="e">
        <f>VLOOKUP(B271,COHVPI!A:E,5,0)</f>
        <v>#N/A</v>
      </c>
      <c r="AF271" s="95" t="e">
        <f t="shared" si="14"/>
        <v>#N/A</v>
      </c>
    </row>
    <row r="272" spans="28:32" x14ac:dyDescent="0.25">
      <c r="AD272" t="e">
        <f>VLOOKUP(B272,COHVPI!A:N,14,0)</f>
        <v>#N/A</v>
      </c>
      <c r="AE272" s="95" t="e">
        <f>VLOOKUP(B272,COHVPI!A:E,5,0)</f>
        <v>#N/A</v>
      </c>
      <c r="AF272" s="95" t="e">
        <f t="shared" si="14"/>
        <v>#N/A</v>
      </c>
    </row>
    <row r="273" spans="30:32" x14ac:dyDescent="0.25">
      <c r="AD273" t="e">
        <f>VLOOKUP(B273,COHVPI!A:N,14,0)</f>
        <v>#N/A</v>
      </c>
      <c r="AE273" s="95" t="e">
        <f>VLOOKUP(B273,COHVPI!A:E,5,0)</f>
        <v>#N/A</v>
      </c>
      <c r="AF273" s="95" t="e">
        <f t="shared" ref="AF273:AF336" si="15">AE273-D273</f>
        <v>#N/A</v>
      </c>
    </row>
    <row r="274" spans="30:32" x14ac:dyDescent="0.25">
      <c r="AD274" t="e">
        <f>VLOOKUP(B274,COHVPI!A:N,14,0)</f>
        <v>#N/A</v>
      </c>
      <c r="AE274" s="95" t="e">
        <f>VLOOKUP(B274,COHVPI!A:E,5,0)</f>
        <v>#N/A</v>
      </c>
      <c r="AF274" s="95" t="e">
        <f t="shared" si="15"/>
        <v>#N/A</v>
      </c>
    </row>
    <row r="275" spans="30:32" x14ac:dyDescent="0.25">
      <c r="AD275" t="e">
        <f>VLOOKUP(B275,COHVPI!A:N,14,0)</f>
        <v>#N/A</v>
      </c>
      <c r="AE275" s="95" t="e">
        <f>VLOOKUP(B275,COHVPI!A:E,5,0)</f>
        <v>#N/A</v>
      </c>
      <c r="AF275" s="95" t="e">
        <f t="shared" si="15"/>
        <v>#N/A</v>
      </c>
    </row>
    <row r="276" spans="30:32" x14ac:dyDescent="0.25">
      <c r="AD276" t="e">
        <f>VLOOKUP(B276,COHVPI!A:N,14,0)</f>
        <v>#N/A</v>
      </c>
      <c r="AE276" s="95" t="e">
        <f>VLOOKUP(B276,COHVPI!A:E,5,0)</f>
        <v>#N/A</v>
      </c>
      <c r="AF276" s="95" t="e">
        <f t="shared" si="15"/>
        <v>#N/A</v>
      </c>
    </row>
    <row r="277" spans="30:32" x14ac:dyDescent="0.25">
      <c r="AD277" t="e">
        <f>VLOOKUP(B277,COHVPI!A:N,14,0)</f>
        <v>#N/A</v>
      </c>
      <c r="AE277" s="95" t="e">
        <f>VLOOKUP(B277,COHVPI!A:E,5,0)</f>
        <v>#N/A</v>
      </c>
      <c r="AF277" s="95" t="e">
        <f t="shared" si="15"/>
        <v>#N/A</v>
      </c>
    </row>
    <row r="278" spans="30:32" x14ac:dyDescent="0.25">
      <c r="AD278" t="e">
        <f>VLOOKUP(B278,COHVPI!A:N,14,0)</f>
        <v>#N/A</v>
      </c>
      <c r="AE278" s="95" t="e">
        <f>VLOOKUP(B278,COHVPI!A:E,5,0)</f>
        <v>#N/A</v>
      </c>
      <c r="AF278" s="95" t="e">
        <f t="shared" si="15"/>
        <v>#N/A</v>
      </c>
    </row>
    <row r="279" spans="30:32" x14ac:dyDescent="0.25">
      <c r="AD279" t="e">
        <f>VLOOKUP(B279,COHVPI!A:N,14,0)</f>
        <v>#N/A</v>
      </c>
      <c r="AE279" s="95" t="e">
        <f>VLOOKUP(B279,COHVPI!A:E,5,0)</f>
        <v>#N/A</v>
      </c>
      <c r="AF279" s="95" t="e">
        <f t="shared" si="15"/>
        <v>#N/A</v>
      </c>
    </row>
    <row r="280" spans="30:32" x14ac:dyDescent="0.25">
      <c r="AD280" t="e">
        <f>VLOOKUP(B280,COHVPI!A:N,14,0)</f>
        <v>#N/A</v>
      </c>
      <c r="AE280" s="95" t="e">
        <f>VLOOKUP(B280,COHVPI!A:E,5,0)</f>
        <v>#N/A</v>
      </c>
      <c r="AF280" s="95" t="e">
        <f t="shared" si="15"/>
        <v>#N/A</v>
      </c>
    </row>
    <row r="281" spans="30:32" x14ac:dyDescent="0.25">
      <c r="AD281" t="e">
        <f>VLOOKUP(B281,COHVPI!A:N,14,0)</f>
        <v>#N/A</v>
      </c>
      <c r="AE281" s="95" t="e">
        <f>VLOOKUP(B281,COHVPI!A:E,5,0)</f>
        <v>#N/A</v>
      </c>
      <c r="AF281" s="95" t="e">
        <f t="shared" si="15"/>
        <v>#N/A</v>
      </c>
    </row>
    <row r="282" spans="30:32" x14ac:dyDescent="0.25">
      <c r="AD282" t="e">
        <f>VLOOKUP(B282,COHVPI!A:N,14,0)</f>
        <v>#N/A</v>
      </c>
      <c r="AE282" s="95" t="e">
        <f>VLOOKUP(B282,COHVPI!A:E,5,0)</f>
        <v>#N/A</v>
      </c>
      <c r="AF282" s="95" t="e">
        <f t="shared" si="15"/>
        <v>#N/A</v>
      </c>
    </row>
    <row r="283" spans="30:32" x14ac:dyDescent="0.25">
      <c r="AD283" t="e">
        <f>VLOOKUP(B283,COHVPI!A:N,14,0)</f>
        <v>#N/A</v>
      </c>
      <c r="AE283" s="95" t="e">
        <f>VLOOKUP(B283,COHVPI!A:E,5,0)</f>
        <v>#N/A</v>
      </c>
      <c r="AF283" s="95" t="e">
        <f t="shared" si="15"/>
        <v>#N/A</v>
      </c>
    </row>
    <row r="284" spans="30:32" x14ac:dyDescent="0.25">
      <c r="AD284" t="e">
        <f>VLOOKUP(B284,COHVPI!A:N,14,0)</f>
        <v>#N/A</v>
      </c>
      <c r="AE284" s="95" t="e">
        <f>VLOOKUP(B284,COHVPI!A:E,5,0)</f>
        <v>#N/A</v>
      </c>
      <c r="AF284" s="95" t="e">
        <f t="shared" si="15"/>
        <v>#N/A</v>
      </c>
    </row>
    <row r="285" spans="30:32" x14ac:dyDescent="0.25">
      <c r="AD285" t="e">
        <f>VLOOKUP(B285,COHVPI!A:N,14,0)</f>
        <v>#N/A</v>
      </c>
      <c r="AE285" s="95" t="e">
        <f>VLOOKUP(B285,COHVPI!A:E,5,0)</f>
        <v>#N/A</v>
      </c>
      <c r="AF285" s="95" t="e">
        <f t="shared" si="15"/>
        <v>#N/A</v>
      </c>
    </row>
    <row r="286" spans="30:32" x14ac:dyDescent="0.25">
      <c r="AD286" t="e">
        <f>VLOOKUP(B286,COHVPI!A:N,14,0)</f>
        <v>#N/A</v>
      </c>
      <c r="AE286" s="95" t="e">
        <f>VLOOKUP(B286,COHVPI!A:E,5,0)</f>
        <v>#N/A</v>
      </c>
      <c r="AF286" s="95" t="e">
        <f t="shared" si="15"/>
        <v>#N/A</v>
      </c>
    </row>
    <row r="287" spans="30:32" x14ac:dyDescent="0.25">
      <c r="AD287" t="e">
        <f>VLOOKUP(B287,COHVPI!A:N,14,0)</f>
        <v>#N/A</v>
      </c>
      <c r="AE287" s="95" t="e">
        <f>VLOOKUP(B287,COHVPI!A:E,5,0)</f>
        <v>#N/A</v>
      </c>
      <c r="AF287" s="95" t="e">
        <f t="shared" si="15"/>
        <v>#N/A</v>
      </c>
    </row>
    <row r="288" spans="30:32" x14ac:dyDescent="0.25">
      <c r="AD288" t="e">
        <f>VLOOKUP(B288,COHVPI!A:N,14,0)</f>
        <v>#N/A</v>
      </c>
      <c r="AE288" s="95" t="e">
        <f>VLOOKUP(B288,COHVPI!A:E,5,0)</f>
        <v>#N/A</v>
      </c>
      <c r="AF288" s="95" t="e">
        <f t="shared" si="15"/>
        <v>#N/A</v>
      </c>
    </row>
    <row r="289" spans="30:32" x14ac:dyDescent="0.25">
      <c r="AD289" t="e">
        <f>VLOOKUP(B289,COHVPI!A:N,14,0)</f>
        <v>#N/A</v>
      </c>
      <c r="AE289" s="95" t="e">
        <f>VLOOKUP(B289,COHVPI!A:E,5,0)</f>
        <v>#N/A</v>
      </c>
      <c r="AF289" s="95" t="e">
        <f t="shared" si="15"/>
        <v>#N/A</v>
      </c>
    </row>
    <row r="290" spans="30:32" x14ac:dyDescent="0.25">
      <c r="AD290" t="e">
        <f>VLOOKUP(B290,COHVPI!A:N,14,0)</f>
        <v>#N/A</v>
      </c>
      <c r="AE290" s="95" t="e">
        <f>VLOOKUP(B290,COHVPI!A:E,5,0)</f>
        <v>#N/A</v>
      </c>
      <c r="AF290" s="95" t="e">
        <f t="shared" si="15"/>
        <v>#N/A</v>
      </c>
    </row>
    <row r="291" spans="30:32" x14ac:dyDescent="0.25">
      <c r="AD291" t="e">
        <f>VLOOKUP(B291,COHVPI!A:N,14,0)</f>
        <v>#N/A</v>
      </c>
      <c r="AE291" s="95" t="e">
        <f>VLOOKUP(B291,COHVPI!A:E,5,0)</f>
        <v>#N/A</v>
      </c>
      <c r="AF291" s="95" t="e">
        <f t="shared" si="15"/>
        <v>#N/A</v>
      </c>
    </row>
    <row r="292" spans="30:32" x14ac:dyDescent="0.25">
      <c r="AD292" t="e">
        <f>VLOOKUP(B292,COHVPI!A:N,14,0)</f>
        <v>#N/A</v>
      </c>
      <c r="AE292" s="95" t="e">
        <f>VLOOKUP(B292,COHVPI!A:E,5,0)</f>
        <v>#N/A</v>
      </c>
      <c r="AF292" s="95" t="e">
        <f t="shared" si="15"/>
        <v>#N/A</v>
      </c>
    </row>
    <row r="293" spans="30:32" x14ac:dyDescent="0.25">
      <c r="AD293" t="e">
        <f>VLOOKUP(B293,COHVPI!A:N,14,0)</f>
        <v>#N/A</v>
      </c>
      <c r="AE293" s="95" t="e">
        <f>VLOOKUP(B293,COHVPI!A:E,5,0)</f>
        <v>#N/A</v>
      </c>
      <c r="AF293" s="95" t="e">
        <f t="shared" si="15"/>
        <v>#N/A</v>
      </c>
    </row>
    <row r="294" spans="30:32" x14ac:dyDescent="0.25">
      <c r="AD294" t="e">
        <f>VLOOKUP(B294,COHVPI!A:N,14,0)</f>
        <v>#N/A</v>
      </c>
      <c r="AE294" s="95" t="e">
        <f>VLOOKUP(B294,COHVPI!A:E,5,0)</f>
        <v>#N/A</v>
      </c>
      <c r="AF294" s="95" t="e">
        <f t="shared" si="15"/>
        <v>#N/A</v>
      </c>
    </row>
    <row r="295" spans="30:32" x14ac:dyDescent="0.25">
      <c r="AD295" t="e">
        <f>VLOOKUP(B295,COHVPI!A:N,14,0)</f>
        <v>#N/A</v>
      </c>
      <c r="AE295" s="95" t="e">
        <f>VLOOKUP(B295,COHVPI!A:E,5,0)</f>
        <v>#N/A</v>
      </c>
      <c r="AF295" s="95" t="e">
        <f t="shared" si="15"/>
        <v>#N/A</v>
      </c>
    </row>
    <row r="296" spans="30:32" x14ac:dyDescent="0.25">
      <c r="AD296" t="e">
        <f>VLOOKUP(B296,COHVPI!A:N,14,0)</f>
        <v>#N/A</v>
      </c>
      <c r="AE296" s="95" t="e">
        <f>VLOOKUP(B296,COHVPI!A:E,5,0)</f>
        <v>#N/A</v>
      </c>
      <c r="AF296" s="95" t="e">
        <f t="shared" si="15"/>
        <v>#N/A</v>
      </c>
    </row>
    <row r="297" spans="30:32" x14ac:dyDescent="0.25">
      <c r="AD297" t="e">
        <f>VLOOKUP(B297,COHVPI!A:N,14,0)</f>
        <v>#N/A</v>
      </c>
      <c r="AE297" s="95" t="e">
        <f>VLOOKUP(B297,COHVPI!A:E,5,0)</f>
        <v>#N/A</v>
      </c>
      <c r="AF297" s="95" t="e">
        <f t="shared" si="15"/>
        <v>#N/A</v>
      </c>
    </row>
    <row r="298" spans="30:32" x14ac:dyDescent="0.25">
      <c r="AD298" t="e">
        <f>VLOOKUP(B298,COHVPI!A:N,14,0)</f>
        <v>#N/A</v>
      </c>
      <c r="AE298" s="95" t="e">
        <f>VLOOKUP(B298,COHVPI!A:E,5,0)</f>
        <v>#N/A</v>
      </c>
      <c r="AF298" s="95" t="e">
        <f t="shared" si="15"/>
        <v>#N/A</v>
      </c>
    </row>
    <row r="299" spans="30:32" x14ac:dyDescent="0.25">
      <c r="AD299" t="e">
        <f>VLOOKUP(B299,COHVPI!A:N,14,0)</f>
        <v>#N/A</v>
      </c>
      <c r="AE299" s="95" t="e">
        <f>VLOOKUP(B299,COHVPI!A:E,5,0)</f>
        <v>#N/A</v>
      </c>
      <c r="AF299" s="95" t="e">
        <f t="shared" si="15"/>
        <v>#N/A</v>
      </c>
    </row>
    <row r="300" spans="30:32" x14ac:dyDescent="0.25">
      <c r="AD300" t="e">
        <f>VLOOKUP(B300,COHVPI!A:N,14,0)</f>
        <v>#N/A</v>
      </c>
      <c r="AE300" s="95" t="e">
        <f>VLOOKUP(B300,COHVPI!A:E,5,0)</f>
        <v>#N/A</v>
      </c>
      <c r="AF300" s="95" t="e">
        <f t="shared" si="15"/>
        <v>#N/A</v>
      </c>
    </row>
    <row r="301" spans="30:32" x14ac:dyDescent="0.25">
      <c r="AD301" t="e">
        <f>VLOOKUP(B301,COHVPI!A:N,14,0)</f>
        <v>#N/A</v>
      </c>
      <c r="AE301" s="95" t="e">
        <f>VLOOKUP(B301,COHVPI!A:E,5,0)</f>
        <v>#N/A</v>
      </c>
      <c r="AF301" s="95" t="e">
        <f t="shared" si="15"/>
        <v>#N/A</v>
      </c>
    </row>
    <row r="302" spans="30:32" x14ac:dyDescent="0.25">
      <c r="AD302" t="e">
        <f>VLOOKUP(B302,COHVPI!A:N,14,0)</f>
        <v>#N/A</v>
      </c>
      <c r="AE302" s="95" t="e">
        <f>VLOOKUP(B302,COHVPI!A:E,5,0)</f>
        <v>#N/A</v>
      </c>
      <c r="AF302" s="95" t="e">
        <f t="shared" si="15"/>
        <v>#N/A</v>
      </c>
    </row>
    <row r="303" spans="30:32" x14ac:dyDescent="0.25">
      <c r="AD303" t="e">
        <f>VLOOKUP(B303,COHVPI!A:N,14,0)</f>
        <v>#N/A</v>
      </c>
      <c r="AE303" s="95" t="e">
        <f>VLOOKUP(B303,COHVPI!A:E,5,0)</f>
        <v>#N/A</v>
      </c>
      <c r="AF303" s="95" t="e">
        <f t="shared" si="15"/>
        <v>#N/A</v>
      </c>
    </row>
    <row r="304" spans="30:32" x14ac:dyDescent="0.25">
      <c r="AD304" t="e">
        <f>VLOOKUP(B304,COHVPI!A:N,14,0)</f>
        <v>#N/A</v>
      </c>
      <c r="AE304" s="95" t="e">
        <f>VLOOKUP(B304,COHVPI!A:E,5,0)</f>
        <v>#N/A</v>
      </c>
      <c r="AF304" s="95" t="e">
        <f t="shared" si="15"/>
        <v>#N/A</v>
      </c>
    </row>
    <row r="305" spans="30:32" x14ac:dyDescent="0.25">
      <c r="AD305" t="e">
        <f>VLOOKUP(B305,COHVPI!A:N,14,0)</f>
        <v>#N/A</v>
      </c>
      <c r="AE305" s="95" t="e">
        <f>VLOOKUP(B305,COHVPI!A:E,5,0)</f>
        <v>#N/A</v>
      </c>
      <c r="AF305" s="95" t="e">
        <f t="shared" si="15"/>
        <v>#N/A</v>
      </c>
    </row>
    <row r="306" spans="30:32" x14ac:dyDescent="0.25">
      <c r="AD306" t="e">
        <f>VLOOKUP(B306,COHVPI!A:N,14,0)</f>
        <v>#N/A</v>
      </c>
      <c r="AE306" s="95" t="e">
        <f>VLOOKUP(B306,COHVPI!A:E,5,0)</f>
        <v>#N/A</v>
      </c>
      <c r="AF306" s="95" t="e">
        <f t="shared" si="15"/>
        <v>#N/A</v>
      </c>
    </row>
    <row r="307" spans="30:32" x14ac:dyDescent="0.25">
      <c r="AD307" t="e">
        <f>VLOOKUP(B307,COHVPI!A:N,14,0)</f>
        <v>#N/A</v>
      </c>
      <c r="AE307" s="95" t="e">
        <f>VLOOKUP(B307,COHVPI!A:E,5,0)</f>
        <v>#N/A</v>
      </c>
      <c r="AF307" s="95" t="e">
        <f t="shared" si="15"/>
        <v>#N/A</v>
      </c>
    </row>
    <row r="308" spans="30:32" x14ac:dyDescent="0.25">
      <c r="AD308" t="e">
        <f>VLOOKUP(B308,COHVPI!A:N,14,0)</f>
        <v>#N/A</v>
      </c>
      <c r="AE308" s="95" t="e">
        <f>VLOOKUP(B308,COHVPI!A:E,5,0)</f>
        <v>#N/A</v>
      </c>
      <c r="AF308" s="95" t="e">
        <f t="shared" si="15"/>
        <v>#N/A</v>
      </c>
    </row>
    <row r="309" spans="30:32" x14ac:dyDescent="0.25">
      <c r="AD309" t="e">
        <f>VLOOKUP(B309,COHVPI!A:N,14,0)</f>
        <v>#N/A</v>
      </c>
      <c r="AE309" s="95" t="e">
        <f>VLOOKUP(B309,COHVPI!A:E,5,0)</f>
        <v>#N/A</v>
      </c>
      <c r="AF309" s="95" t="e">
        <f t="shared" si="15"/>
        <v>#N/A</v>
      </c>
    </row>
    <row r="310" spans="30:32" x14ac:dyDescent="0.25">
      <c r="AD310" t="e">
        <f>VLOOKUP(B310,COHVPI!A:N,14,0)</f>
        <v>#N/A</v>
      </c>
      <c r="AE310" s="95" t="e">
        <f>VLOOKUP(B310,COHVPI!A:E,5,0)</f>
        <v>#N/A</v>
      </c>
      <c r="AF310" s="95" t="e">
        <f t="shared" si="15"/>
        <v>#N/A</v>
      </c>
    </row>
    <row r="311" spans="30:32" x14ac:dyDescent="0.25">
      <c r="AD311" t="e">
        <f>VLOOKUP(B311,COHVPI!A:N,14,0)</f>
        <v>#N/A</v>
      </c>
      <c r="AE311" s="95" t="e">
        <f>VLOOKUP(B311,COHVPI!A:E,5,0)</f>
        <v>#N/A</v>
      </c>
      <c r="AF311" s="95" t="e">
        <f t="shared" si="15"/>
        <v>#N/A</v>
      </c>
    </row>
    <row r="312" spans="30:32" x14ac:dyDescent="0.25">
      <c r="AD312" t="e">
        <f>VLOOKUP(B312,COHVPI!A:N,14,0)</f>
        <v>#N/A</v>
      </c>
      <c r="AE312" s="95" t="e">
        <f>VLOOKUP(B312,COHVPI!A:E,5,0)</f>
        <v>#N/A</v>
      </c>
      <c r="AF312" s="95" t="e">
        <f t="shared" si="15"/>
        <v>#N/A</v>
      </c>
    </row>
    <row r="313" spans="30:32" x14ac:dyDescent="0.25">
      <c r="AD313" t="e">
        <f>VLOOKUP(B313,COHVPI!A:N,14,0)</f>
        <v>#N/A</v>
      </c>
      <c r="AE313" s="95" t="e">
        <f>VLOOKUP(B313,COHVPI!A:E,5,0)</f>
        <v>#N/A</v>
      </c>
      <c r="AF313" s="95" t="e">
        <f t="shared" si="15"/>
        <v>#N/A</v>
      </c>
    </row>
    <row r="314" spans="30:32" x14ac:dyDescent="0.25">
      <c r="AD314" t="e">
        <f>VLOOKUP(B314,COHVPI!A:N,14,0)</f>
        <v>#N/A</v>
      </c>
      <c r="AE314" s="95" t="e">
        <f>VLOOKUP(B314,COHVPI!A:E,5,0)</f>
        <v>#N/A</v>
      </c>
      <c r="AF314" s="95" t="e">
        <f t="shared" si="15"/>
        <v>#N/A</v>
      </c>
    </row>
    <row r="315" spans="30:32" x14ac:dyDescent="0.25">
      <c r="AD315" t="e">
        <f>VLOOKUP(B315,COHVPI!A:N,14,0)</f>
        <v>#N/A</v>
      </c>
      <c r="AE315" s="95" t="e">
        <f>VLOOKUP(B315,COHVPI!A:E,5,0)</f>
        <v>#N/A</v>
      </c>
      <c r="AF315" s="95" t="e">
        <f t="shared" si="15"/>
        <v>#N/A</v>
      </c>
    </row>
    <row r="316" spans="30:32" x14ac:dyDescent="0.25">
      <c r="AD316" t="e">
        <f>VLOOKUP(B316,COHVPI!A:N,14,0)</f>
        <v>#N/A</v>
      </c>
      <c r="AE316" s="95" t="e">
        <f>VLOOKUP(B316,COHVPI!A:E,5,0)</f>
        <v>#N/A</v>
      </c>
      <c r="AF316" s="95" t="e">
        <f t="shared" si="15"/>
        <v>#N/A</v>
      </c>
    </row>
    <row r="317" spans="30:32" x14ac:dyDescent="0.25">
      <c r="AD317" t="e">
        <f>VLOOKUP(B317,COHVPI!A:N,14,0)</f>
        <v>#N/A</v>
      </c>
      <c r="AE317" s="95" t="e">
        <f>VLOOKUP(B317,COHVPI!A:E,5,0)</f>
        <v>#N/A</v>
      </c>
      <c r="AF317" s="95" t="e">
        <f t="shared" si="15"/>
        <v>#N/A</v>
      </c>
    </row>
    <row r="318" spans="30:32" x14ac:dyDescent="0.25">
      <c r="AD318" t="e">
        <f>VLOOKUP(B318,COHVPI!A:N,14,0)</f>
        <v>#N/A</v>
      </c>
      <c r="AE318" s="95" t="e">
        <f>VLOOKUP(B318,COHVPI!A:E,5,0)</f>
        <v>#N/A</v>
      </c>
      <c r="AF318" s="95" t="e">
        <f t="shared" si="15"/>
        <v>#N/A</v>
      </c>
    </row>
    <row r="319" spans="30:32" x14ac:dyDescent="0.25">
      <c r="AD319" t="e">
        <f>VLOOKUP(B319,COHVPI!A:N,14,0)</f>
        <v>#N/A</v>
      </c>
      <c r="AE319" s="95" t="e">
        <f>VLOOKUP(B319,COHVPI!A:E,5,0)</f>
        <v>#N/A</v>
      </c>
      <c r="AF319" s="95" t="e">
        <f t="shared" si="15"/>
        <v>#N/A</v>
      </c>
    </row>
    <row r="320" spans="30:32" x14ac:dyDescent="0.25">
      <c r="AD320" t="e">
        <f>VLOOKUP(B320,COHVPI!A:N,14,0)</f>
        <v>#N/A</v>
      </c>
      <c r="AE320" s="95" t="e">
        <f>VLOOKUP(B320,COHVPI!A:E,5,0)</f>
        <v>#N/A</v>
      </c>
      <c r="AF320" s="95" t="e">
        <f t="shared" si="15"/>
        <v>#N/A</v>
      </c>
    </row>
    <row r="321" spans="30:32" x14ac:dyDescent="0.25">
      <c r="AD321" t="e">
        <f>VLOOKUP(B321,COHVPI!A:N,14,0)</f>
        <v>#N/A</v>
      </c>
      <c r="AE321" s="95" t="e">
        <f>VLOOKUP(B321,COHVPI!A:E,5,0)</f>
        <v>#N/A</v>
      </c>
      <c r="AF321" s="95" t="e">
        <f t="shared" si="15"/>
        <v>#N/A</v>
      </c>
    </row>
    <row r="322" spans="30:32" x14ac:dyDescent="0.25">
      <c r="AD322" t="e">
        <f>VLOOKUP(B322,COHVPI!A:N,14,0)</f>
        <v>#N/A</v>
      </c>
      <c r="AE322" s="95" t="e">
        <f>VLOOKUP(B322,COHVPI!A:E,5,0)</f>
        <v>#N/A</v>
      </c>
      <c r="AF322" s="95" t="e">
        <f t="shared" si="15"/>
        <v>#N/A</v>
      </c>
    </row>
    <row r="323" spans="30:32" x14ac:dyDescent="0.25">
      <c r="AD323" t="e">
        <f>VLOOKUP(B323,COHVPI!A:N,14,0)</f>
        <v>#N/A</v>
      </c>
      <c r="AE323" s="95" t="e">
        <f>VLOOKUP(B323,COHVPI!A:E,5,0)</f>
        <v>#N/A</v>
      </c>
      <c r="AF323" s="95" t="e">
        <f t="shared" si="15"/>
        <v>#N/A</v>
      </c>
    </row>
    <row r="324" spans="30:32" x14ac:dyDescent="0.25">
      <c r="AD324" t="e">
        <f>VLOOKUP(B324,COHVPI!A:N,14,0)</f>
        <v>#N/A</v>
      </c>
      <c r="AE324" s="95" t="e">
        <f>VLOOKUP(B324,COHVPI!A:E,5,0)</f>
        <v>#N/A</v>
      </c>
      <c r="AF324" s="95" t="e">
        <f t="shared" si="15"/>
        <v>#N/A</v>
      </c>
    </row>
    <row r="325" spans="30:32" x14ac:dyDescent="0.25">
      <c r="AD325" t="e">
        <f>VLOOKUP(B325,COHVPI!A:N,14,0)</f>
        <v>#N/A</v>
      </c>
      <c r="AE325" s="95" t="e">
        <f>VLOOKUP(B325,COHVPI!A:E,5,0)</f>
        <v>#N/A</v>
      </c>
      <c r="AF325" s="95" t="e">
        <f t="shared" si="15"/>
        <v>#N/A</v>
      </c>
    </row>
    <row r="326" spans="30:32" x14ac:dyDescent="0.25">
      <c r="AD326" t="e">
        <f>VLOOKUP(B326,COHVPI!A:N,14,0)</f>
        <v>#N/A</v>
      </c>
      <c r="AE326" s="95" t="e">
        <f>VLOOKUP(B326,COHVPI!A:E,5,0)</f>
        <v>#N/A</v>
      </c>
      <c r="AF326" s="95" t="e">
        <f t="shared" si="15"/>
        <v>#N/A</v>
      </c>
    </row>
    <row r="327" spans="30:32" x14ac:dyDescent="0.25">
      <c r="AD327" t="e">
        <f>VLOOKUP(B327,COHVPI!A:N,14,0)</f>
        <v>#N/A</v>
      </c>
      <c r="AE327" s="95" t="e">
        <f>VLOOKUP(B327,COHVPI!A:E,5,0)</f>
        <v>#N/A</v>
      </c>
      <c r="AF327" s="95" t="e">
        <f t="shared" si="15"/>
        <v>#N/A</v>
      </c>
    </row>
    <row r="328" spans="30:32" x14ac:dyDescent="0.25">
      <c r="AD328" t="e">
        <f>VLOOKUP(B328,COHVPI!A:N,14,0)</f>
        <v>#N/A</v>
      </c>
      <c r="AE328" s="95" t="e">
        <f>VLOOKUP(B328,COHVPI!A:E,5,0)</f>
        <v>#N/A</v>
      </c>
      <c r="AF328" s="95" t="e">
        <f t="shared" si="15"/>
        <v>#N/A</v>
      </c>
    </row>
    <row r="329" spans="30:32" x14ac:dyDescent="0.25">
      <c r="AD329" t="e">
        <f>VLOOKUP(B329,COHVPI!A:N,14,0)</f>
        <v>#N/A</v>
      </c>
      <c r="AE329" s="95" t="e">
        <f>VLOOKUP(B329,COHVPI!A:E,5,0)</f>
        <v>#N/A</v>
      </c>
      <c r="AF329" s="95" t="e">
        <f t="shared" si="15"/>
        <v>#N/A</v>
      </c>
    </row>
    <row r="330" spans="30:32" x14ac:dyDescent="0.25">
      <c r="AD330" t="e">
        <f>VLOOKUP(B330,COHVPI!A:N,14,0)</f>
        <v>#N/A</v>
      </c>
      <c r="AE330" s="95" t="e">
        <f>VLOOKUP(B330,COHVPI!A:E,5,0)</f>
        <v>#N/A</v>
      </c>
      <c r="AF330" s="95" t="e">
        <f t="shared" si="15"/>
        <v>#N/A</v>
      </c>
    </row>
    <row r="331" spans="30:32" x14ac:dyDescent="0.25">
      <c r="AD331" t="e">
        <f>VLOOKUP(B331,COHVPI!A:N,14,0)</f>
        <v>#N/A</v>
      </c>
      <c r="AE331" s="95" t="e">
        <f>VLOOKUP(B331,COHVPI!A:E,5,0)</f>
        <v>#N/A</v>
      </c>
      <c r="AF331" s="95" t="e">
        <f t="shared" si="15"/>
        <v>#N/A</v>
      </c>
    </row>
    <row r="332" spans="30:32" x14ac:dyDescent="0.25">
      <c r="AD332" t="e">
        <f>VLOOKUP(B332,COHVPI!A:N,14,0)</f>
        <v>#N/A</v>
      </c>
      <c r="AE332" s="95" t="e">
        <f>VLOOKUP(B332,COHVPI!A:E,5,0)</f>
        <v>#N/A</v>
      </c>
      <c r="AF332" s="95" t="e">
        <f t="shared" si="15"/>
        <v>#N/A</v>
      </c>
    </row>
    <row r="333" spans="30:32" x14ac:dyDescent="0.25">
      <c r="AD333" t="e">
        <f>VLOOKUP(B333,COHVPI!A:N,14,0)</f>
        <v>#N/A</v>
      </c>
      <c r="AE333" s="95" t="e">
        <f>VLOOKUP(B333,COHVPI!A:E,5,0)</f>
        <v>#N/A</v>
      </c>
      <c r="AF333" s="95" t="e">
        <f t="shared" si="15"/>
        <v>#N/A</v>
      </c>
    </row>
    <row r="334" spans="30:32" x14ac:dyDescent="0.25">
      <c r="AD334" t="e">
        <f>VLOOKUP(B334,COHVPI!A:N,14,0)</f>
        <v>#N/A</v>
      </c>
      <c r="AE334" s="95" t="e">
        <f>VLOOKUP(B334,COHVPI!A:E,5,0)</f>
        <v>#N/A</v>
      </c>
      <c r="AF334" s="95" t="e">
        <f t="shared" si="15"/>
        <v>#N/A</v>
      </c>
    </row>
    <row r="335" spans="30:32" x14ac:dyDescent="0.25">
      <c r="AD335" t="e">
        <f>VLOOKUP(B335,COHVPI!A:N,14,0)</f>
        <v>#N/A</v>
      </c>
      <c r="AE335" s="95" t="e">
        <f>VLOOKUP(B335,COHVPI!A:E,5,0)</f>
        <v>#N/A</v>
      </c>
      <c r="AF335" s="95" t="e">
        <f t="shared" si="15"/>
        <v>#N/A</v>
      </c>
    </row>
    <row r="336" spans="30:32" x14ac:dyDescent="0.25">
      <c r="AD336" t="e">
        <f>VLOOKUP(B336,COHVPI!A:N,14,0)</f>
        <v>#N/A</v>
      </c>
      <c r="AE336" s="95" t="e">
        <f>VLOOKUP(B336,COHVPI!A:E,5,0)</f>
        <v>#N/A</v>
      </c>
      <c r="AF336" s="95" t="e">
        <f t="shared" si="15"/>
        <v>#N/A</v>
      </c>
    </row>
    <row r="337" spans="30:32" x14ac:dyDescent="0.25">
      <c r="AD337" t="e">
        <f>VLOOKUP(B337,COHVPI!A:N,14,0)</f>
        <v>#N/A</v>
      </c>
      <c r="AE337" s="95" t="e">
        <f>VLOOKUP(B337,COHVPI!A:E,5,0)</f>
        <v>#N/A</v>
      </c>
      <c r="AF337" s="95" t="e">
        <f t="shared" ref="AF337:AF400" si="16">AE337-D337</f>
        <v>#N/A</v>
      </c>
    </row>
    <row r="338" spans="30:32" x14ac:dyDescent="0.25">
      <c r="AD338" t="e">
        <f>VLOOKUP(B338,COHVPI!A:N,14,0)</f>
        <v>#N/A</v>
      </c>
      <c r="AE338" s="95" t="e">
        <f>VLOOKUP(B338,COHVPI!A:E,5,0)</f>
        <v>#N/A</v>
      </c>
      <c r="AF338" s="95" t="e">
        <f t="shared" si="16"/>
        <v>#N/A</v>
      </c>
    </row>
    <row r="339" spans="30:32" x14ac:dyDescent="0.25">
      <c r="AD339" t="e">
        <f>VLOOKUP(B339,COHVPI!A:N,14,0)</f>
        <v>#N/A</v>
      </c>
      <c r="AE339" s="95" t="e">
        <f>VLOOKUP(B339,COHVPI!A:E,5,0)</f>
        <v>#N/A</v>
      </c>
      <c r="AF339" s="95" t="e">
        <f t="shared" si="16"/>
        <v>#N/A</v>
      </c>
    </row>
    <row r="340" spans="30:32" x14ac:dyDescent="0.25">
      <c r="AD340" t="e">
        <f>VLOOKUP(B340,COHVPI!A:N,14,0)</f>
        <v>#N/A</v>
      </c>
      <c r="AE340" s="95" t="e">
        <f>VLOOKUP(B340,COHVPI!A:E,5,0)</f>
        <v>#N/A</v>
      </c>
      <c r="AF340" s="95" t="e">
        <f t="shared" si="16"/>
        <v>#N/A</v>
      </c>
    </row>
    <row r="341" spans="30:32" x14ac:dyDescent="0.25">
      <c r="AD341" t="e">
        <f>VLOOKUP(B341,COHVPI!A:N,14,0)</f>
        <v>#N/A</v>
      </c>
      <c r="AE341" s="95" t="e">
        <f>VLOOKUP(B341,COHVPI!A:E,5,0)</f>
        <v>#N/A</v>
      </c>
      <c r="AF341" s="95" t="e">
        <f t="shared" si="16"/>
        <v>#N/A</v>
      </c>
    </row>
    <row r="342" spans="30:32" x14ac:dyDescent="0.25">
      <c r="AD342" t="e">
        <f>VLOOKUP(B342,COHVPI!A:N,14,0)</f>
        <v>#N/A</v>
      </c>
      <c r="AE342" s="95" t="e">
        <f>VLOOKUP(B342,COHVPI!A:E,5,0)</f>
        <v>#N/A</v>
      </c>
      <c r="AF342" s="95" t="e">
        <f t="shared" si="16"/>
        <v>#N/A</v>
      </c>
    </row>
    <row r="343" spans="30:32" x14ac:dyDescent="0.25">
      <c r="AD343" t="e">
        <f>VLOOKUP(B343,COHVPI!A:N,14,0)</f>
        <v>#N/A</v>
      </c>
      <c r="AE343" s="95" t="e">
        <f>VLOOKUP(B343,COHVPI!A:E,5,0)</f>
        <v>#N/A</v>
      </c>
      <c r="AF343" s="95" t="e">
        <f t="shared" si="16"/>
        <v>#N/A</v>
      </c>
    </row>
    <row r="344" spans="30:32" x14ac:dyDescent="0.25">
      <c r="AD344" t="e">
        <f>VLOOKUP(B344,COHVPI!A:N,14,0)</f>
        <v>#N/A</v>
      </c>
      <c r="AE344" s="95" t="e">
        <f>VLOOKUP(B344,COHVPI!A:E,5,0)</f>
        <v>#N/A</v>
      </c>
      <c r="AF344" s="95" t="e">
        <f t="shared" si="16"/>
        <v>#N/A</v>
      </c>
    </row>
    <row r="345" spans="30:32" x14ac:dyDescent="0.25">
      <c r="AD345" t="e">
        <f>VLOOKUP(B345,COHVPI!A:N,14,0)</f>
        <v>#N/A</v>
      </c>
      <c r="AE345" s="95" t="e">
        <f>VLOOKUP(B345,COHVPI!A:E,5,0)</f>
        <v>#N/A</v>
      </c>
      <c r="AF345" s="95" t="e">
        <f t="shared" si="16"/>
        <v>#N/A</v>
      </c>
    </row>
    <row r="346" spans="30:32" x14ac:dyDescent="0.25">
      <c r="AD346" t="e">
        <f>VLOOKUP(B346,COHVPI!A:N,14,0)</f>
        <v>#N/A</v>
      </c>
      <c r="AE346" s="95" t="e">
        <f>VLOOKUP(B346,COHVPI!A:E,5,0)</f>
        <v>#N/A</v>
      </c>
      <c r="AF346" s="95" t="e">
        <f t="shared" si="16"/>
        <v>#N/A</v>
      </c>
    </row>
    <row r="347" spans="30:32" x14ac:dyDescent="0.25">
      <c r="AD347" t="e">
        <f>VLOOKUP(B347,COHVPI!A:N,14,0)</f>
        <v>#N/A</v>
      </c>
      <c r="AE347" s="95" t="e">
        <f>VLOOKUP(B347,COHVPI!A:E,5,0)</f>
        <v>#N/A</v>
      </c>
      <c r="AF347" s="95" t="e">
        <f t="shared" si="16"/>
        <v>#N/A</v>
      </c>
    </row>
    <row r="348" spans="30:32" x14ac:dyDescent="0.25">
      <c r="AD348" t="e">
        <f>VLOOKUP(B348,COHVPI!A:N,14,0)</f>
        <v>#N/A</v>
      </c>
      <c r="AE348" s="95" t="e">
        <f>VLOOKUP(B348,COHVPI!A:E,5,0)</f>
        <v>#N/A</v>
      </c>
      <c r="AF348" s="95" t="e">
        <f t="shared" si="16"/>
        <v>#N/A</v>
      </c>
    </row>
    <row r="349" spans="30:32" x14ac:dyDescent="0.25">
      <c r="AD349" t="e">
        <f>VLOOKUP(B349,COHVPI!A:N,14,0)</f>
        <v>#N/A</v>
      </c>
      <c r="AE349" s="95" t="e">
        <f>VLOOKUP(B349,COHVPI!A:E,5,0)</f>
        <v>#N/A</v>
      </c>
      <c r="AF349" s="95" t="e">
        <f t="shared" si="16"/>
        <v>#N/A</v>
      </c>
    </row>
    <row r="350" spans="30:32" x14ac:dyDescent="0.25">
      <c r="AD350" t="e">
        <f>VLOOKUP(B350,COHVPI!A:N,14,0)</f>
        <v>#N/A</v>
      </c>
      <c r="AE350" s="95" t="e">
        <f>VLOOKUP(B350,COHVPI!A:E,5,0)</f>
        <v>#N/A</v>
      </c>
      <c r="AF350" s="95" t="e">
        <f t="shared" si="16"/>
        <v>#N/A</v>
      </c>
    </row>
    <row r="351" spans="30:32" x14ac:dyDescent="0.25">
      <c r="AD351" t="e">
        <f>VLOOKUP(B351,COHVPI!A:N,14,0)</f>
        <v>#N/A</v>
      </c>
      <c r="AE351" s="95" t="e">
        <f>VLOOKUP(B351,COHVPI!A:E,5,0)</f>
        <v>#N/A</v>
      </c>
      <c r="AF351" s="95" t="e">
        <f t="shared" si="16"/>
        <v>#N/A</v>
      </c>
    </row>
    <row r="352" spans="30:32" x14ac:dyDescent="0.25">
      <c r="AD352" t="e">
        <f>VLOOKUP(B352,COHVPI!A:N,14,0)</f>
        <v>#N/A</v>
      </c>
      <c r="AE352" s="95" t="e">
        <f>VLOOKUP(B352,COHVPI!A:E,5,0)</f>
        <v>#N/A</v>
      </c>
      <c r="AF352" s="95" t="e">
        <f t="shared" si="16"/>
        <v>#N/A</v>
      </c>
    </row>
    <row r="353" spans="30:32" x14ac:dyDescent="0.25">
      <c r="AD353" t="e">
        <f>VLOOKUP(B353,COHVPI!A:N,14,0)</f>
        <v>#N/A</v>
      </c>
      <c r="AE353" s="95" t="e">
        <f>VLOOKUP(B353,COHVPI!A:E,5,0)</f>
        <v>#N/A</v>
      </c>
      <c r="AF353" s="95" t="e">
        <f t="shared" si="16"/>
        <v>#N/A</v>
      </c>
    </row>
    <row r="354" spans="30:32" x14ac:dyDescent="0.25">
      <c r="AD354" t="e">
        <f>VLOOKUP(B354,COHVPI!A:N,14,0)</f>
        <v>#N/A</v>
      </c>
      <c r="AE354" s="95" t="e">
        <f>VLOOKUP(B354,COHVPI!A:E,5,0)</f>
        <v>#N/A</v>
      </c>
      <c r="AF354" s="95" t="e">
        <f t="shared" si="16"/>
        <v>#N/A</v>
      </c>
    </row>
    <row r="355" spans="30:32" x14ac:dyDescent="0.25">
      <c r="AD355" t="e">
        <f>VLOOKUP(B355,COHVPI!A:N,14,0)</f>
        <v>#N/A</v>
      </c>
      <c r="AE355" s="95" t="e">
        <f>VLOOKUP(B355,COHVPI!A:E,5,0)</f>
        <v>#N/A</v>
      </c>
      <c r="AF355" s="95" t="e">
        <f t="shared" si="16"/>
        <v>#N/A</v>
      </c>
    </row>
    <row r="356" spans="30:32" x14ac:dyDescent="0.25">
      <c r="AD356" t="e">
        <f>VLOOKUP(B356,COHVPI!A:N,14,0)</f>
        <v>#N/A</v>
      </c>
      <c r="AE356" s="95" t="e">
        <f>VLOOKUP(B356,COHVPI!A:E,5,0)</f>
        <v>#N/A</v>
      </c>
      <c r="AF356" s="95" t="e">
        <f t="shared" si="16"/>
        <v>#N/A</v>
      </c>
    </row>
    <row r="357" spans="30:32" x14ac:dyDescent="0.25">
      <c r="AD357" t="e">
        <f>VLOOKUP(B357,COHVPI!A:N,14,0)</f>
        <v>#N/A</v>
      </c>
      <c r="AE357" s="95" t="e">
        <f>VLOOKUP(B357,COHVPI!A:E,5,0)</f>
        <v>#N/A</v>
      </c>
      <c r="AF357" s="95" t="e">
        <f t="shared" si="16"/>
        <v>#N/A</v>
      </c>
    </row>
    <row r="358" spans="30:32" x14ac:dyDescent="0.25">
      <c r="AD358" t="e">
        <f>VLOOKUP(B358,COHVPI!A:N,14,0)</f>
        <v>#N/A</v>
      </c>
      <c r="AE358" s="95" t="e">
        <f>VLOOKUP(B358,COHVPI!A:E,5,0)</f>
        <v>#N/A</v>
      </c>
      <c r="AF358" s="95" t="e">
        <f t="shared" si="16"/>
        <v>#N/A</v>
      </c>
    </row>
    <row r="359" spans="30:32" x14ac:dyDescent="0.25">
      <c r="AD359" t="e">
        <f>VLOOKUP(B359,COHVPI!A:N,14,0)</f>
        <v>#N/A</v>
      </c>
      <c r="AE359" s="95" t="e">
        <f>VLOOKUP(B359,COHVPI!A:E,5,0)</f>
        <v>#N/A</v>
      </c>
      <c r="AF359" s="95" t="e">
        <f t="shared" si="16"/>
        <v>#N/A</v>
      </c>
    </row>
    <row r="360" spans="30:32" x14ac:dyDescent="0.25">
      <c r="AD360" t="e">
        <f>VLOOKUP(B360,COHVPI!A:N,14,0)</f>
        <v>#N/A</v>
      </c>
      <c r="AE360" s="95" t="e">
        <f>VLOOKUP(B360,COHVPI!A:E,5,0)</f>
        <v>#N/A</v>
      </c>
      <c r="AF360" s="95" t="e">
        <f t="shared" si="16"/>
        <v>#N/A</v>
      </c>
    </row>
    <row r="361" spans="30:32" x14ac:dyDescent="0.25">
      <c r="AD361" t="e">
        <f>VLOOKUP(B361,COHVPI!A:N,14,0)</f>
        <v>#N/A</v>
      </c>
      <c r="AE361" s="95" t="e">
        <f>VLOOKUP(B361,COHVPI!A:E,5,0)</f>
        <v>#N/A</v>
      </c>
      <c r="AF361" s="95" t="e">
        <f t="shared" si="16"/>
        <v>#N/A</v>
      </c>
    </row>
    <row r="362" spans="30:32" x14ac:dyDescent="0.25">
      <c r="AD362" t="e">
        <f>VLOOKUP(B362,COHVPI!A:N,14,0)</f>
        <v>#N/A</v>
      </c>
      <c r="AE362" s="95" t="e">
        <f>VLOOKUP(B362,COHVPI!A:E,5,0)</f>
        <v>#N/A</v>
      </c>
      <c r="AF362" s="95" t="e">
        <f t="shared" si="16"/>
        <v>#N/A</v>
      </c>
    </row>
    <row r="363" spans="30:32" x14ac:dyDescent="0.25">
      <c r="AD363" t="e">
        <f>VLOOKUP(B363,COHVPI!A:N,14,0)</f>
        <v>#N/A</v>
      </c>
      <c r="AE363" s="95" t="e">
        <f>VLOOKUP(B363,COHVPI!A:E,5,0)</f>
        <v>#N/A</v>
      </c>
      <c r="AF363" s="95" t="e">
        <f t="shared" si="16"/>
        <v>#N/A</v>
      </c>
    </row>
    <row r="364" spans="30:32" x14ac:dyDescent="0.25">
      <c r="AD364" t="e">
        <f>VLOOKUP(B364,COHVPI!A:N,14,0)</f>
        <v>#N/A</v>
      </c>
      <c r="AE364" s="95" t="e">
        <f>VLOOKUP(B364,COHVPI!A:E,5,0)</f>
        <v>#N/A</v>
      </c>
      <c r="AF364" s="95" t="e">
        <f t="shared" si="16"/>
        <v>#N/A</v>
      </c>
    </row>
    <row r="365" spans="30:32" x14ac:dyDescent="0.25">
      <c r="AD365" t="e">
        <f>VLOOKUP(B365,COHVPI!A:N,14,0)</f>
        <v>#N/A</v>
      </c>
      <c r="AE365" s="95" t="e">
        <f>VLOOKUP(B365,COHVPI!A:E,5,0)</f>
        <v>#N/A</v>
      </c>
      <c r="AF365" s="95" t="e">
        <f t="shared" si="16"/>
        <v>#N/A</v>
      </c>
    </row>
    <row r="366" spans="30:32" x14ac:dyDescent="0.25">
      <c r="AD366" t="e">
        <f>VLOOKUP(B366,COHVPI!A:N,14,0)</f>
        <v>#N/A</v>
      </c>
      <c r="AE366" s="95" t="e">
        <f>VLOOKUP(B366,COHVPI!A:E,5,0)</f>
        <v>#N/A</v>
      </c>
      <c r="AF366" s="95" t="e">
        <f t="shared" si="16"/>
        <v>#N/A</v>
      </c>
    </row>
    <row r="367" spans="30:32" x14ac:dyDescent="0.25">
      <c r="AD367" t="e">
        <f>VLOOKUP(B367,COHVPI!A:N,14,0)</f>
        <v>#N/A</v>
      </c>
      <c r="AE367" s="95" t="e">
        <f>VLOOKUP(B367,COHVPI!A:E,5,0)</f>
        <v>#N/A</v>
      </c>
      <c r="AF367" s="95" t="e">
        <f t="shared" si="16"/>
        <v>#N/A</v>
      </c>
    </row>
    <row r="368" spans="30:32" x14ac:dyDescent="0.25">
      <c r="AD368" t="e">
        <f>VLOOKUP(B368,COHVPI!A:N,14,0)</f>
        <v>#N/A</v>
      </c>
      <c r="AE368" s="95" t="e">
        <f>VLOOKUP(B368,COHVPI!A:E,5,0)</f>
        <v>#N/A</v>
      </c>
      <c r="AF368" s="95" t="e">
        <f t="shared" si="16"/>
        <v>#N/A</v>
      </c>
    </row>
    <row r="369" spans="30:32" x14ac:dyDescent="0.25">
      <c r="AD369" t="e">
        <f>VLOOKUP(B369,COHVPI!A:N,14,0)</f>
        <v>#N/A</v>
      </c>
      <c r="AE369" s="95" t="e">
        <f>VLOOKUP(B369,COHVPI!A:E,5,0)</f>
        <v>#N/A</v>
      </c>
      <c r="AF369" s="95" t="e">
        <f t="shared" si="16"/>
        <v>#N/A</v>
      </c>
    </row>
    <row r="370" spans="30:32" x14ac:dyDescent="0.25">
      <c r="AD370" t="e">
        <f>VLOOKUP(B370,COHVPI!A:N,14,0)</f>
        <v>#N/A</v>
      </c>
      <c r="AE370" s="95" t="e">
        <f>VLOOKUP(B370,COHVPI!A:E,5,0)</f>
        <v>#N/A</v>
      </c>
      <c r="AF370" s="95" t="e">
        <f t="shared" si="16"/>
        <v>#N/A</v>
      </c>
    </row>
    <row r="371" spans="30:32" x14ac:dyDescent="0.25">
      <c r="AD371" t="e">
        <f>VLOOKUP(B371,COHVPI!A:N,14,0)</f>
        <v>#N/A</v>
      </c>
      <c r="AE371" s="95" t="e">
        <f>VLOOKUP(B371,COHVPI!A:E,5,0)</f>
        <v>#N/A</v>
      </c>
      <c r="AF371" s="95" t="e">
        <f t="shared" si="16"/>
        <v>#N/A</v>
      </c>
    </row>
    <row r="372" spans="30:32" x14ac:dyDescent="0.25">
      <c r="AD372" t="e">
        <f>VLOOKUP(B372,COHVPI!A:N,14,0)</f>
        <v>#N/A</v>
      </c>
      <c r="AE372" s="95" t="e">
        <f>VLOOKUP(B372,COHVPI!A:E,5,0)</f>
        <v>#N/A</v>
      </c>
      <c r="AF372" s="95" t="e">
        <f t="shared" si="16"/>
        <v>#N/A</v>
      </c>
    </row>
    <row r="373" spans="30:32" x14ac:dyDescent="0.25">
      <c r="AD373" t="e">
        <f>VLOOKUP(B373,COHVPI!A:N,14,0)</f>
        <v>#N/A</v>
      </c>
      <c r="AE373" s="95" t="e">
        <f>VLOOKUP(B373,COHVPI!A:E,5,0)</f>
        <v>#N/A</v>
      </c>
      <c r="AF373" s="95" t="e">
        <f t="shared" si="16"/>
        <v>#N/A</v>
      </c>
    </row>
    <row r="374" spans="30:32" x14ac:dyDescent="0.25">
      <c r="AD374" t="e">
        <f>VLOOKUP(B374,COHVPI!A:N,14,0)</f>
        <v>#N/A</v>
      </c>
      <c r="AE374" s="95" t="e">
        <f>VLOOKUP(B374,COHVPI!A:E,5,0)</f>
        <v>#N/A</v>
      </c>
      <c r="AF374" s="95" t="e">
        <f t="shared" si="16"/>
        <v>#N/A</v>
      </c>
    </row>
    <row r="375" spans="30:32" x14ac:dyDescent="0.25">
      <c r="AD375" t="e">
        <f>VLOOKUP(B375,COHVPI!A:N,14,0)</f>
        <v>#N/A</v>
      </c>
      <c r="AE375" s="95" t="e">
        <f>VLOOKUP(B375,COHVPI!A:E,5,0)</f>
        <v>#N/A</v>
      </c>
      <c r="AF375" s="95" t="e">
        <f t="shared" si="16"/>
        <v>#N/A</v>
      </c>
    </row>
    <row r="376" spans="30:32" x14ac:dyDescent="0.25">
      <c r="AD376" t="e">
        <f>VLOOKUP(B376,COHVPI!A:N,14,0)</f>
        <v>#N/A</v>
      </c>
      <c r="AE376" s="95" t="e">
        <f>VLOOKUP(B376,COHVPI!A:E,5,0)</f>
        <v>#N/A</v>
      </c>
      <c r="AF376" s="95" t="e">
        <f t="shared" si="16"/>
        <v>#N/A</v>
      </c>
    </row>
    <row r="377" spans="30:32" x14ac:dyDescent="0.25">
      <c r="AD377" t="e">
        <f>VLOOKUP(B377,COHVPI!A:N,14,0)</f>
        <v>#N/A</v>
      </c>
      <c r="AE377" s="95" t="e">
        <f>VLOOKUP(B377,COHVPI!A:E,5,0)</f>
        <v>#N/A</v>
      </c>
      <c r="AF377" s="95" t="e">
        <f t="shared" si="16"/>
        <v>#N/A</v>
      </c>
    </row>
    <row r="378" spans="30:32" x14ac:dyDescent="0.25">
      <c r="AD378" t="e">
        <f>VLOOKUP(B378,COHVPI!A:N,14,0)</f>
        <v>#N/A</v>
      </c>
      <c r="AE378" s="95" t="e">
        <f>VLOOKUP(B378,COHVPI!A:E,5,0)</f>
        <v>#N/A</v>
      </c>
      <c r="AF378" s="95" t="e">
        <f t="shared" si="16"/>
        <v>#N/A</v>
      </c>
    </row>
    <row r="379" spans="30:32" x14ac:dyDescent="0.25">
      <c r="AD379" t="e">
        <f>VLOOKUP(B379,COHVPI!A:N,14,0)</f>
        <v>#N/A</v>
      </c>
      <c r="AE379" s="95" t="e">
        <f>VLOOKUP(B379,COHVPI!A:E,5,0)</f>
        <v>#N/A</v>
      </c>
      <c r="AF379" s="95" t="e">
        <f t="shared" si="16"/>
        <v>#N/A</v>
      </c>
    </row>
    <row r="380" spans="30:32" x14ac:dyDescent="0.25">
      <c r="AD380" t="e">
        <f>VLOOKUP(B380,COHVPI!A:N,14,0)</f>
        <v>#N/A</v>
      </c>
      <c r="AE380" s="95" t="e">
        <f>VLOOKUP(B380,COHVPI!A:E,5,0)</f>
        <v>#N/A</v>
      </c>
      <c r="AF380" s="95" t="e">
        <f t="shared" si="16"/>
        <v>#N/A</v>
      </c>
    </row>
    <row r="381" spans="30:32" x14ac:dyDescent="0.25">
      <c r="AD381" t="e">
        <f>VLOOKUP(B381,COHVPI!A:N,14,0)</f>
        <v>#N/A</v>
      </c>
      <c r="AE381" s="95" t="e">
        <f>VLOOKUP(B381,COHVPI!A:E,5,0)</f>
        <v>#N/A</v>
      </c>
      <c r="AF381" s="95" t="e">
        <f t="shared" si="16"/>
        <v>#N/A</v>
      </c>
    </row>
    <row r="382" spans="30:32" x14ac:dyDescent="0.25">
      <c r="AD382" t="e">
        <f>VLOOKUP(B382,COHVPI!A:N,14,0)</f>
        <v>#N/A</v>
      </c>
      <c r="AE382" s="95" t="e">
        <f>VLOOKUP(B382,COHVPI!A:E,5,0)</f>
        <v>#N/A</v>
      </c>
      <c r="AF382" s="95" t="e">
        <f t="shared" si="16"/>
        <v>#N/A</v>
      </c>
    </row>
    <row r="383" spans="30:32" x14ac:dyDescent="0.25">
      <c r="AD383" t="e">
        <f>VLOOKUP(B383,COHVPI!A:N,14,0)</f>
        <v>#N/A</v>
      </c>
      <c r="AE383" s="95" t="e">
        <f>VLOOKUP(B383,COHVPI!A:E,5,0)</f>
        <v>#N/A</v>
      </c>
      <c r="AF383" s="95" t="e">
        <f t="shared" si="16"/>
        <v>#N/A</v>
      </c>
    </row>
    <row r="384" spans="30:32" x14ac:dyDescent="0.25">
      <c r="AD384" t="e">
        <f>VLOOKUP(B384,COHVPI!A:N,14,0)</f>
        <v>#N/A</v>
      </c>
      <c r="AE384" s="95" t="e">
        <f>VLOOKUP(B384,COHVPI!A:E,5,0)</f>
        <v>#N/A</v>
      </c>
      <c r="AF384" s="95" t="e">
        <f t="shared" si="16"/>
        <v>#N/A</v>
      </c>
    </row>
    <row r="385" spans="30:32" x14ac:dyDescent="0.25">
      <c r="AD385" t="e">
        <f>VLOOKUP(B385,COHVPI!A:N,14,0)</f>
        <v>#N/A</v>
      </c>
      <c r="AE385" s="95" t="e">
        <f>VLOOKUP(B385,COHVPI!A:E,5,0)</f>
        <v>#N/A</v>
      </c>
      <c r="AF385" s="95" t="e">
        <f t="shared" si="16"/>
        <v>#N/A</v>
      </c>
    </row>
    <row r="386" spans="30:32" x14ac:dyDescent="0.25">
      <c r="AD386" t="e">
        <f>VLOOKUP(B386,COHVPI!A:N,14,0)</f>
        <v>#N/A</v>
      </c>
      <c r="AE386" s="95" t="e">
        <f>VLOOKUP(B386,COHVPI!A:E,5,0)</f>
        <v>#N/A</v>
      </c>
      <c r="AF386" s="95" t="e">
        <f t="shared" si="16"/>
        <v>#N/A</v>
      </c>
    </row>
    <row r="387" spans="30:32" x14ac:dyDescent="0.25">
      <c r="AD387" t="e">
        <f>VLOOKUP(B387,COHVPI!A:N,14,0)</f>
        <v>#N/A</v>
      </c>
      <c r="AE387" s="95" t="e">
        <f>VLOOKUP(B387,COHVPI!A:E,5,0)</f>
        <v>#N/A</v>
      </c>
      <c r="AF387" s="95" t="e">
        <f t="shared" si="16"/>
        <v>#N/A</v>
      </c>
    </row>
    <row r="388" spans="30:32" x14ac:dyDescent="0.25">
      <c r="AD388" t="e">
        <f>VLOOKUP(B388,COHVPI!A:N,14,0)</f>
        <v>#N/A</v>
      </c>
      <c r="AE388" s="95" t="e">
        <f>VLOOKUP(B388,COHVPI!A:E,5,0)</f>
        <v>#N/A</v>
      </c>
      <c r="AF388" s="95" t="e">
        <f t="shared" si="16"/>
        <v>#N/A</v>
      </c>
    </row>
    <row r="389" spans="30:32" x14ac:dyDescent="0.25">
      <c r="AD389" t="e">
        <f>VLOOKUP(B389,COHVPI!A:N,14,0)</f>
        <v>#N/A</v>
      </c>
      <c r="AE389" s="95" t="e">
        <f>VLOOKUP(B389,COHVPI!A:E,5,0)</f>
        <v>#N/A</v>
      </c>
      <c r="AF389" s="95" t="e">
        <f t="shared" si="16"/>
        <v>#N/A</v>
      </c>
    </row>
    <row r="390" spans="30:32" x14ac:dyDescent="0.25">
      <c r="AD390" t="e">
        <f>VLOOKUP(B390,COHVPI!A:N,14,0)</f>
        <v>#N/A</v>
      </c>
      <c r="AE390" s="95" t="e">
        <f>VLOOKUP(B390,COHVPI!A:E,5,0)</f>
        <v>#N/A</v>
      </c>
      <c r="AF390" s="95" t="e">
        <f t="shared" si="16"/>
        <v>#N/A</v>
      </c>
    </row>
    <row r="391" spans="30:32" x14ac:dyDescent="0.25">
      <c r="AD391" t="e">
        <f>VLOOKUP(B391,COHVPI!A:N,14,0)</f>
        <v>#N/A</v>
      </c>
      <c r="AE391" s="95" t="e">
        <f>VLOOKUP(B391,COHVPI!A:E,5,0)</f>
        <v>#N/A</v>
      </c>
      <c r="AF391" s="95" t="e">
        <f t="shared" si="16"/>
        <v>#N/A</v>
      </c>
    </row>
    <row r="392" spans="30:32" x14ac:dyDescent="0.25">
      <c r="AD392" t="e">
        <f>VLOOKUP(B392,COHVPI!A:N,14,0)</f>
        <v>#N/A</v>
      </c>
      <c r="AE392" s="95" t="e">
        <f>VLOOKUP(B392,COHVPI!A:E,5,0)</f>
        <v>#N/A</v>
      </c>
      <c r="AF392" s="95" t="e">
        <f t="shared" si="16"/>
        <v>#N/A</v>
      </c>
    </row>
    <row r="393" spans="30:32" x14ac:dyDescent="0.25">
      <c r="AD393" t="e">
        <f>VLOOKUP(B393,COHVPI!A:N,14,0)</f>
        <v>#N/A</v>
      </c>
      <c r="AE393" s="95" t="e">
        <f>VLOOKUP(B393,COHVPI!A:E,5,0)</f>
        <v>#N/A</v>
      </c>
      <c r="AF393" s="95" t="e">
        <f t="shared" si="16"/>
        <v>#N/A</v>
      </c>
    </row>
    <row r="394" spans="30:32" x14ac:dyDescent="0.25">
      <c r="AD394" t="e">
        <f>VLOOKUP(B394,COHVPI!A:N,14,0)</f>
        <v>#N/A</v>
      </c>
      <c r="AE394" s="95" t="e">
        <f>VLOOKUP(B394,COHVPI!A:E,5,0)</f>
        <v>#N/A</v>
      </c>
      <c r="AF394" s="95" t="e">
        <f t="shared" si="16"/>
        <v>#N/A</v>
      </c>
    </row>
    <row r="395" spans="30:32" x14ac:dyDescent="0.25">
      <c r="AD395" t="e">
        <f>VLOOKUP(B395,COHVPI!A:N,14,0)</f>
        <v>#N/A</v>
      </c>
      <c r="AE395" s="95" t="e">
        <f>VLOOKUP(B395,COHVPI!A:E,5,0)</f>
        <v>#N/A</v>
      </c>
      <c r="AF395" s="95" t="e">
        <f t="shared" si="16"/>
        <v>#N/A</v>
      </c>
    </row>
    <row r="396" spans="30:32" x14ac:dyDescent="0.25">
      <c r="AD396" t="e">
        <f>VLOOKUP(B396,COHVPI!A:N,14,0)</f>
        <v>#N/A</v>
      </c>
      <c r="AE396" s="95" t="e">
        <f>VLOOKUP(B396,COHVPI!A:E,5,0)</f>
        <v>#N/A</v>
      </c>
      <c r="AF396" s="95" t="e">
        <f t="shared" si="16"/>
        <v>#N/A</v>
      </c>
    </row>
    <row r="397" spans="30:32" x14ac:dyDescent="0.25">
      <c r="AD397" t="e">
        <f>VLOOKUP(B397,COHVPI!A:N,14,0)</f>
        <v>#N/A</v>
      </c>
      <c r="AE397" s="95" t="e">
        <f>VLOOKUP(B397,COHVPI!A:E,5,0)</f>
        <v>#N/A</v>
      </c>
      <c r="AF397" s="95" t="e">
        <f t="shared" si="16"/>
        <v>#N/A</v>
      </c>
    </row>
    <row r="398" spans="30:32" x14ac:dyDescent="0.25">
      <c r="AD398" t="e">
        <f>VLOOKUP(B398,COHVPI!A:N,14,0)</f>
        <v>#N/A</v>
      </c>
      <c r="AE398" s="95" t="e">
        <f>VLOOKUP(B398,COHVPI!A:E,5,0)</f>
        <v>#N/A</v>
      </c>
      <c r="AF398" s="95" t="e">
        <f t="shared" si="16"/>
        <v>#N/A</v>
      </c>
    </row>
    <row r="399" spans="30:32" x14ac:dyDescent="0.25">
      <c r="AD399" t="e">
        <f>VLOOKUP(B399,COHVPI!A:N,14,0)</f>
        <v>#N/A</v>
      </c>
      <c r="AE399" s="95" t="e">
        <f>VLOOKUP(B399,COHVPI!A:E,5,0)</f>
        <v>#N/A</v>
      </c>
      <c r="AF399" s="95" t="e">
        <f t="shared" si="16"/>
        <v>#N/A</v>
      </c>
    </row>
    <row r="400" spans="30:32" x14ac:dyDescent="0.25">
      <c r="AD400" t="e">
        <f>VLOOKUP(B400,COHVPI!A:N,14,0)</f>
        <v>#N/A</v>
      </c>
      <c r="AE400" s="95" t="e">
        <f>VLOOKUP(B400,COHVPI!A:E,5,0)</f>
        <v>#N/A</v>
      </c>
      <c r="AF400" s="95" t="e">
        <f t="shared" si="16"/>
        <v>#N/A</v>
      </c>
    </row>
    <row r="401" spans="30:32" x14ac:dyDescent="0.25">
      <c r="AD401" t="e">
        <f>VLOOKUP(B401,COHVPI!A:N,14,0)</f>
        <v>#N/A</v>
      </c>
      <c r="AE401" s="95" t="e">
        <f>VLOOKUP(B401,COHVPI!A:E,5,0)</f>
        <v>#N/A</v>
      </c>
      <c r="AF401" s="95" t="e">
        <f t="shared" ref="AF401:AF464" si="17">AE401-D401</f>
        <v>#N/A</v>
      </c>
    </row>
    <row r="402" spans="30:32" x14ac:dyDescent="0.25">
      <c r="AD402" t="e">
        <f>VLOOKUP(B402,COHVPI!A:N,14,0)</f>
        <v>#N/A</v>
      </c>
      <c r="AE402" s="95" t="e">
        <f>VLOOKUP(B402,COHVPI!A:E,5,0)</f>
        <v>#N/A</v>
      </c>
      <c r="AF402" s="95" t="e">
        <f t="shared" si="17"/>
        <v>#N/A</v>
      </c>
    </row>
    <row r="403" spans="30:32" x14ac:dyDescent="0.25">
      <c r="AD403" t="e">
        <f>VLOOKUP(B403,COHVPI!A:N,14,0)</f>
        <v>#N/A</v>
      </c>
      <c r="AE403" s="95" t="e">
        <f>VLOOKUP(B403,COHVPI!A:E,5,0)</f>
        <v>#N/A</v>
      </c>
      <c r="AF403" s="95" t="e">
        <f t="shared" si="17"/>
        <v>#N/A</v>
      </c>
    </row>
    <row r="404" spans="30:32" x14ac:dyDescent="0.25">
      <c r="AD404" t="e">
        <f>VLOOKUP(B404,COHVPI!A:N,14,0)</f>
        <v>#N/A</v>
      </c>
      <c r="AE404" s="95" t="e">
        <f>VLOOKUP(B404,COHVPI!A:E,5,0)</f>
        <v>#N/A</v>
      </c>
      <c r="AF404" s="95" t="e">
        <f t="shared" si="17"/>
        <v>#N/A</v>
      </c>
    </row>
    <row r="405" spans="30:32" x14ac:dyDescent="0.25">
      <c r="AD405" t="e">
        <f>VLOOKUP(B405,COHVPI!A:N,14,0)</f>
        <v>#N/A</v>
      </c>
      <c r="AE405" s="95" t="e">
        <f>VLOOKUP(B405,COHVPI!A:E,5,0)</f>
        <v>#N/A</v>
      </c>
      <c r="AF405" s="95" t="e">
        <f t="shared" si="17"/>
        <v>#N/A</v>
      </c>
    </row>
    <row r="406" spans="30:32" x14ac:dyDescent="0.25">
      <c r="AD406" t="e">
        <f>VLOOKUP(B406,COHVPI!A:N,14,0)</f>
        <v>#N/A</v>
      </c>
      <c r="AE406" s="95" t="e">
        <f>VLOOKUP(B406,COHVPI!A:E,5,0)</f>
        <v>#N/A</v>
      </c>
      <c r="AF406" s="95" t="e">
        <f t="shared" si="17"/>
        <v>#N/A</v>
      </c>
    </row>
    <row r="407" spans="30:32" x14ac:dyDescent="0.25">
      <c r="AD407" t="e">
        <f>VLOOKUP(B407,COHVPI!A:N,14,0)</f>
        <v>#N/A</v>
      </c>
      <c r="AE407" s="95" t="e">
        <f>VLOOKUP(B407,COHVPI!A:E,5,0)</f>
        <v>#N/A</v>
      </c>
      <c r="AF407" s="95" t="e">
        <f t="shared" si="17"/>
        <v>#N/A</v>
      </c>
    </row>
    <row r="408" spans="30:32" x14ac:dyDescent="0.25">
      <c r="AD408" t="e">
        <f>VLOOKUP(B408,COHVPI!A:N,14,0)</f>
        <v>#N/A</v>
      </c>
      <c r="AE408" s="95" t="e">
        <f>VLOOKUP(B408,COHVPI!A:E,5,0)</f>
        <v>#N/A</v>
      </c>
      <c r="AF408" s="95" t="e">
        <f t="shared" si="17"/>
        <v>#N/A</v>
      </c>
    </row>
    <row r="409" spans="30:32" x14ac:dyDescent="0.25">
      <c r="AD409" t="e">
        <f>VLOOKUP(B409,COHVPI!A:N,14,0)</f>
        <v>#N/A</v>
      </c>
      <c r="AE409" s="95" t="e">
        <f>VLOOKUP(B409,COHVPI!A:E,5,0)</f>
        <v>#N/A</v>
      </c>
      <c r="AF409" s="95" t="e">
        <f t="shared" si="17"/>
        <v>#N/A</v>
      </c>
    </row>
    <row r="410" spans="30:32" x14ac:dyDescent="0.25">
      <c r="AD410" t="e">
        <f>VLOOKUP(B410,COHVPI!A:N,14,0)</f>
        <v>#N/A</v>
      </c>
      <c r="AE410" s="95" t="e">
        <f>VLOOKUP(B410,COHVPI!A:E,5,0)</f>
        <v>#N/A</v>
      </c>
      <c r="AF410" s="95" t="e">
        <f t="shared" si="17"/>
        <v>#N/A</v>
      </c>
    </row>
    <row r="411" spans="30:32" x14ac:dyDescent="0.25">
      <c r="AD411" t="e">
        <f>VLOOKUP(B411,COHVPI!A:N,14,0)</f>
        <v>#N/A</v>
      </c>
      <c r="AE411" s="95" t="e">
        <f>VLOOKUP(B411,COHVPI!A:E,5,0)</f>
        <v>#N/A</v>
      </c>
      <c r="AF411" s="95" t="e">
        <f t="shared" si="17"/>
        <v>#N/A</v>
      </c>
    </row>
    <row r="412" spans="30:32" x14ac:dyDescent="0.25">
      <c r="AD412" t="e">
        <f>VLOOKUP(B412,COHVPI!A:N,14,0)</f>
        <v>#N/A</v>
      </c>
      <c r="AE412" s="95" t="e">
        <f>VLOOKUP(B412,COHVPI!A:E,5,0)</f>
        <v>#N/A</v>
      </c>
      <c r="AF412" s="95" t="e">
        <f t="shared" si="17"/>
        <v>#N/A</v>
      </c>
    </row>
    <row r="413" spans="30:32" x14ac:dyDescent="0.25">
      <c r="AD413" t="e">
        <f>VLOOKUP(B413,COHVPI!A:N,14,0)</f>
        <v>#N/A</v>
      </c>
      <c r="AE413" s="95" t="e">
        <f>VLOOKUP(B413,COHVPI!A:E,5,0)</f>
        <v>#N/A</v>
      </c>
      <c r="AF413" s="95" t="e">
        <f t="shared" si="17"/>
        <v>#N/A</v>
      </c>
    </row>
    <row r="414" spans="30:32" x14ac:dyDescent="0.25">
      <c r="AD414" t="e">
        <f>VLOOKUP(B414,COHVPI!A:N,14,0)</f>
        <v>#N/A</v>
      </c>
      <c r="AE414" s="95" t="e">
        <f>VLOOKUP(B414,COHVPI!A:E,5,0)</f>
        <v>#N/A</v>
      </c>
      <c r="AF414" s="95" t="e">
        <f t="shared" si="17"/>
        <v>#N/A</v>
      </c>
    </row>
    <row r="415" spans="30:32" x14ac:dyDescent="0.25">
      <c r="AD415" t="e">
        <f>VLOOKUP(B415,COHVPI!A:N,14,0)</f>
        <v>#N/A</v>
      </c>
      <c r="AE415" s="95" t="e">
        <f>VLOOKUP(B415,COHVPI!A:E,5,0)</f>
        <v>#N/A</v>
      </c>
      <c r="AF415" s="95" t="e">
        <f t="shared" si="17"/>
        <v>#N/A</v>
      </c>
    </row>
    <row r="416" spans="30:32" x14ac:dyDescent="0.25">
      <c r="AD416" t="e">
        <f>VLOOKUP(B416,COHVPI!A:N,14,0)</f>
        <v>#N/A</v>
      </c>
      <c r="AE416" s="95" t="e">
        <f>VLOOKUP(B416,COHVPI!A:E,5,0)</f>
        <v>#N/A</v>
      </c>
      <c r="AF416" s="95" t="e">
        <f t="shared" si="17"/>
        <v>#N/A</v>
      </c>
    </row>
    <row r="417" spans="30:32" x14ac:dyDescent="0.25">
      <c r="AD417" t="e">
        <f>VLOOKUP(B417,COHVPI!A:N,14,0)</f>
        <v>#N/A</v>
      </c>
      <c r="AE417" s="95" t="e">
        <f>VLOOKUP(B417,COHVPI!A:E,5,0)</f>
        <v>#N/A</v>
      </c>
      <c r="AF417" s="95" t="e">
        <f t="shared" si="17"/>
        <v>#N/A</v>
      </c>
    </row>
    <row r="418" spans="30:32" x14ac:dyDescent="0.25">
      <c r="AD418" t="e">
        <f>VLOOKUP(B418,COHVPI!A:N,14,0)</f>
        <v>#N/A</v>
      </c>
      <c r="AE418" s="95" t="e">
        <f>VLOOKUP(B418,COHVPI!A:E,5,0)</f>
        <v>#N/A</v>
      </c>
      <c r="AF418" s="95" t="e">
        <f t="shared" si="17"/>
        <v>#N/A</v>
      </c>
    </row>
    <row r="419" spans="30:32" x14ac:dyDescent="0.25">
      <c r="AD419" t="e">
        <f>VLOOKUP(B419,COHVPI!A:N,14,0)</f>
        <v>#N/A</v>
      </c>
      <c r="AE419" s="95" t="e">
        <f>VLOOKUP(B419,COHVPI!A:E,5,0)</f>
        <v>#N/A</v>
      </c>
      <c r="AF419" s="95" t="e">
        <f t="shared" si="17"/>
        <v>#N/A</v>
      </c>
    </row>
    <row r="420" spans="30:32" x14ac:dyDescent="0.25">
      <c r="AD420" t="e">
        <f>VLOOKUP(B420,COHVPI!A:N,14,0)</f>
        <v>#N/A</v>
      </c>
      <c r="AE420" s="95" t="e">
        <f>VLOOKUP(B420,COHVPI!A:E,5,0)</f>
        <v>#N/A</v>
      </c>
      <c r="AF420" s="95" t="e">
        <f t="shared" si="17"/>
        <v>#N/A</v>
      </c>
    </row>
    <row r="421" spans="30:32" x14ac:dyDescent="0.25">
      <c r="AD421" t="e">
        <f>VLOOKUP(B421,COHVPI!A:N,14,0)</f>
        <v>#N/A</v>
      </c>
      <c r="AE421" s="95" t="e">
        <f>VLOOKUP(B421,COHVPI!A:E,5,0)</f>
        <v>#N/A</v>
      </c>
      <c r="AF421" s="95" t="e">
        <f t="shared" si="17"/>
        <v>#N/A</v>
      </c>
    </row>
    <row r="422" spans="30:32" x14ac:dyDescent="0.25">
      <c r="AD422" t="e">
        <f>VLOOKUP(B422,COHVPI!A:N,14,0)</f>
        <v>#N/A</v>
      </c>
      <c r="AE422" s="95" t="e">
        <f>VLOOKUP(B422,COHVPI!A:E,5,0)</f>
        <v>#N/A</v>
      </c>
      <c r="AF422" s="95" t="e">
        <f t="shared" si="17"/>
        <v>#N/A</v>
      </c>
    </row>
    <row r="423" spans="30:32" x14ac:dyDescent="0.25">
      <c r="AD423" t="e">
        <f>VLOOKUP(B423,COHVPI!A:N,14,0)</f>
        <v>#N/A</v>
      </c>
      <c r="AE423" s="95" t="e">
        <f>VLOOKUP(B423,COHVPI!A:E,5,0)</f>
        <v>#N/A</v>
      </c>
      <c r="AF423" s="95" t="e">
        <f t="shared" si="17"/>
        <v>#N/A</v>
      </c>
    </row>
    <row r="424" spans="30:32" x14ac:dyDescent="0.25">
      <c r="AD424" t="e">
        <f>VLOOKUP(B424,COHVPI!A:N,14,0)</f>
        <v>#N/A</v>
      </c>
      <c r="AE424" s="95" t="e">
        <f>VLOOKUP(B424,COHVPI!A:E,5,0)</f>
        <v>#N/A</v>
      </c>
      <c r="AF424" s="95" t="e">
        <f t="shared" si="17"/>
        <v>#N/A</v>
      </c>
    </row>
    <row r="425" spans="30:32" x14ac:dyDescent="0.25">
      <c r="AD425" t="e">
        <f>VLOOKUP(B425,COHVPI!A:N,14,0)</f>
        <v>#N/A</v>
      </c>
      <c r="AE425" s="95" t="e">
        <f>VLOOKUP(B425,COHVPI!A:E,5,0)</f>
        <v>#N/A</v>
      </c>
      <c r="AF425" s="95" t="e">
        <f t="shared" si="17"/>
        <v>#N/A</v>
      </c>
    </row>
    <row r="426" spans="30:32" x14ac:dyDescent="0.25">
      <c r="AD426" t="e">
        <f>VLOOKUP(B426,COHVPI!A:N,14,0)</f>
        <v>#N/A</v>
      </c>
      <c r="AE426" s="95" t="e">
        <f>VLOOKUP(B426,COHVPI!A:E,5,0)</f>
        <v>#N/A</v>
      </c>
      <c r="AF426" s="95" t="e">
        <f t="shared" si="17"/>
        <v>#N/A</v>
      </c>
    </row>
    <row r="427" spans="30:32" x14ac:dyDescent="0.25">
      <c r="AD427" t="e">
        <f>VLOOKUP(B427,COHVPI!A:N,14,0)</f>
        <v>#N/A</v>
      </c>
      <c r="AE427" s="95" t="e">
        <f>VLOOKUP(B427,COHVPI!A:E,5,0)</f>
        <v>#N/A</v>
      </c>
      <c r="AF427" s="95" t="e">
        <f t="shared" si="17"/>
        <v>#N/A</v>
      </c>
    </row>
    <row r="428" spans="30:32" x14ac:dyDescent="0.25">
      <c r="AD428" t="e">
        <f>VLOOKUP(B428,COHVPI!A:N,14,0)</f>
        <v>#N/A</v>
      </c>
      <c r="AE428" s="95" t="e">
        <f>VLOOKUP(B428,COHVPI!A:E,5,0)</f>
        <v>#N/A</v>
      </c>
      <c r="AF428" s="95" t="e">
        <f t="shared" si="17"/>
        <v>#N/A</v>
      </c>
    </row>
    <row r="429" spans="30:32" x14ac:dyDescent="0.25">
      <c r="AD429" t="e">
        <f>VLOOKUP(B429,COHVPI!A:N,14,0)</f>
        <v>#N/A</v>
      </c>
      <c r="AE429" s="95" t="e">
        <f>VLOOKUP(B429,COHVPI!A:E,5,0)</f>
        <v>#N/A</v>
      </c>
      <c r="AF429" s="95" t="e">
        <f t="shared" si="17"/>
        <v>#N/A</v>
      </c>
    </row>
    <row r="430" spans="30:32" x14ac:dyDescent="0.25">
      <c r="AD430" t="e">
        <f>VLOOKUP(B430,COHVPI!A:N,14,0)</f>
        <v>#N/A</v>
      </c>
      <c r="AE430" s="95" t="e">
        <f>VLOOKUP(B430,COHVPI!A:E,5,0)</f>
        <v>#N/A</v>
      </c>
      <c r="AF430" s="95" t="e">
        <f t="shared" si="17"/>
        <v>#N/A</v>
      </c>
    </row>
    <row r="431" spans="30:32" x14ac:dyDescent="0.25">
      <c r="AD431" t="e">
        <f>VLOOKUP(B431,COHVPI!A:N,14,0)</f>
        <v>#N/A</v>
      </c>
      <c r="AE431" s="95" t="e">
        <f>VLOOKUP(B431,COHVPI!A:E,5,0)</f>
        <v>#N/A</v>
      </c>
      <c r="AF431" s="95" t="e">
        <f t="shared" si="17"/>
        <v>#N/A</v>
      </c>
    </row>
    <row r="432" spans="30:32" x14ac:dyDescent="0.25">
      <c r="AD432" t="e">
        <f>VLOOKUP(B432,COHVPI!A:N,14,0)</f>
        <v>#N/A</v>
      </c>
      <c r="AE432" s="95" t="e">
        <f>VLOOKUP(B432,COHVPI!A:E,5,0)</f>
        <v>#N/A</v>
      </c>
      <c r="AF432" s="95" t="e">
        <f t="shared" si="17"/>
        <v>#N/A</v>
      </c>
    </row>
    <row r="433" spans="30:32" x14ac:dyDescent="0.25">
      <c r="AD433" t="e">
        <f>VLOOKUP(B433,COHVPI!A:N,14,0)</f>
        <v>#N/A</v>
      </c>
      <c r="AE433" s="95" t="e">
        <f>VLOOKUP(B433,COHVPI!A:E,5,0)</f>
        <v>#N/A</v>
      </c>
      <c r="AF433" s="95" t="e">
        <f t="shared" si="17"/>
        <v>#N/A</v>
      </c>
    </row>
    <row r="434" spans="30:32" x14ac:dyDescent="0.25">
      <c r="AD434" t="e">
        <f>VLOOKUP(B434,COHVPI!A:N,14,0)</f>
        <v>#N/A</v>
      </c>
      <c r="AE434" s="95" t="e">
        <f>VLOOKUP(B434,COHVPI!A:E,5,0)</f>
        <v>#N/A</v>
      </c>
      <c r="AF434" s="95" t="e">
        <f t="shared" si="17"/>
        <v>#N/A</v>
      </c>
    </row>
    <row r="435" spans="30:32" x14ac:dyDescent="0.25">
      <c r="AD435" t="e">
        <f>VLOOKUP(B435,COHVPI!A:N,14,0)</f>
        <v>#N/A</v>
      </c>
      <c r="AE435" s="95" t="e">
        <f>VLOOKUP(B435,COHVPI!A:E,5,0)</f>
        <v>#N/A</v>
      </c>
      <c r="AF435" s="95" t="e">
        <f t="shared" si="17"/>
        <v>#N/A</v>
      </c>
    </row>
    <row r="436" spans="30:32" x14ac:dyDescent="0.25">
      <c r="AD436" t="e">
        <f>VLOOKUP(B436,COHVPI!A:N,14,0)</f>
        <v>#N/A</v>
      </c>
      <c r="AE436" s="95" t="e">
        <f>VLOOKUP(B436,COHVPI!A:E,5,0)</f>
        <v>#N/A</v>
      </c>
      <c r="AF436" s="95" t="e">
        <f t="shared" si="17"/>
        <v>#N/A</v>
      </c>
    </row>
    <row r="437" spans="30:32" x14ac:dyDescent="0.25">
      <c r="AD437" t="e">
        <f>VLOOKUP(B437,COHVPI!A:N,14,0)</f>
        <v>#N/A</v>
      </c>
      <c r="AE437" s="95" t="e">
        <f>VLOOKUP(B437,COHVPI!A:E,5,0)</f>
        <v>#N/A</v>
      </c>
      <c r="AF437" s="95" t="e">
        <f t="shared" si="17"/>
        <v>#N/A</v>
      </c>
    </row>
    <row r="438" spans="30:32" x14ac:dyDescent="0.25">
      <c r="AD438" t="e">
        <f>VLOOKUP(B438,COHVPI!A:N,14,0)</f>
        <v>#N/A</v>
      </c>
      <c r="AE438" s="95" t="e">
        <f>VLOOKUP(B438,COHVPI!A:E,5,0)</f>
        <v>#N/A</v>
      </c>
      <c r="AF438" s="95" t="e">
        <f t="shared" si="17"/>
        <v>#N/A</v>
      </c>
    </row>
    <row r="439" spans="30:32" x14ac:dyDescent="0.25">
      <c r="AD439" t="e">
        <f>VLOOKUP(B439,COHVPI!A:N,14,0)</f>
        <v>#N/A</v>
      </c>
      <c r="AE439" s="95" t="e">
        <f>VLOOKUP(B439,COHVPI!A:E,5,0)</f>
        <v>#N/A</v>
      </c>
      <c r="AF439" s="95" t="e">
        <f t="shared" si="17"/>
        <v>#N/A</v>
      </c>
    </row>
    <row r="440" spans="30:32" x14ac:dyDescent="0.25">
      <c r="AD440" t="e">
        <f>VLOOKUP(B440,COHVPI!A:N,14,0)</f>
        <v>#N/A</v>
      </c>
      <c r="AE440" s="95" t="e">
        <f>VLOOKUP(B440,COHVPI!A:E,5,0)</f>
        <v>#N/A</v>
      </c>
      <c r="AF440" s="95" t="e">
        <f t="shared" si="17"/>
        <v>#N/A</v>
      </c>
    </row>
    <row r="441" spans="30:32" x14ac:dyDescent="0.25">
      <c r="AD441" t="e">
        <f>VLOOKUP(B441,COHVPI!A:N,14,0)</f>
        <v>#N/A</v>
      </c>
      <c r="AE441" s="95" t="e">
        <f>VLOOKUP(B441,COHVPI!A:E,5,0)</f>
        <v>#N/A</v>
      </c>
      <c r="AF441" s="95" t="e">
        <f t="shared" si="17"/>
        <v>#N/A</v>
      </c>
    </row>
    <row r="442" spans="30:32" x14ac:dyDescent="0.25">
      <c r="AD442" t="e">
        <f>VLOOKUP(B442,COHVPI!A:N,14,0)</f>
        <v>#N/A</v>
      </c>
      <c r="AE442" s="95" t="e">
        <f>VLOOKUP(B442,COHVPI!A:E,5,0)</f>
        <v>#N/A</v>
      </c>
      <c r="AF442" s="95" t="e">
        <f t="shared" si="17"/>
        <v>#N/A</v>
      </c>
    </row>
    <row r="443" spans="30:32" x14ac:dyDescent="0.25">
      <c r="AD443" t="e">
        <f>VLOOKUP(B443,COHVPI!A:N,14,0)</f>
        <v>#N/A</v>
      </c>
      <c r="AE443" s="95" t="e">
        <f>VLOOKUP(B443,COHVPI!A:E,5,0)</f>
        <v>#N/A</v>
      </c>
      <c r="AF443" s="95" t="e">
        <f t="shared" si="17"/>
        <v>#N/A</v>
      </c>
    </row>
    <row r="444" spans="30:32" x14ac:dyDescent="0.25">
      <c r="AD444" t="e">
        <f>VLOOKUP(B444,COHVPI!A:N,14,0)</f>
        <v>#N/A</v>
      </c>
      <c r="AE444" s="95" t="e">
        <f>VLOOKUP(B444,COHVPI!A:E,5,0)</f>
        <v>#N/A</v>
      </c>
      <c r="AF444" s="95" t="e">
        <f t="shared" si="17"/>
        <v>#N/A</v>
      </c>
    </row>
    <row r="445" spans="30:32" x14ac:dyDescent="0.25">
      <c r="AD445" t="e">
        <f>VLOOKUP(B445,COHVPI!A:N,14,0)</f>
        <v>#N/A</v>
      </c>
      <c r="AE445" s="95" t="e">
        <f>VLOOKUP(B445,COHVPI!A:E,5,0)</f>
        <v>#N/A</v>
      </c>
      <c r="AF445" s="95" t="e">
        <f t="shared" si="17"/>
        <v>#N/A</v>
      </c>
    </row>
    <row r="446" spans="30:32" x14ac:dyDescent="0.25">
      <c r="AD446" t="e">
        <f>VLOOKUP(B446,COHVPI!A:N,14,0)</f>
        <v>#N/A</v>
      </c>
      <c r="AE446" s="95" t="e">
        <f>VLOOKUP(B446,COHVPI!A:E,5,0)</f>
        <v>#N/A</v>
      </c>
      <c r="AF446" s="95" t="e">
        <f t="shared" si="17"/>
        <v>#N/A</v>
      </c>
    </row>
    <row r="447" spans="30:32" x14ac:dyDescent="0.25">
      <c r="AD447" t="e">
        <f>VLOOKUP(B447,COHVPI!A:N,14,0)</f>
        <v>#N/A</v>
      </c>
      <c r="AE447" s="95" t="e">
        <f>VLOOKUP(B447,COHVPI!A:E,5,0)</f>
        <v>#N/A</v>
      </c>
      <c r="AF447" s="95" t="e">
        <f t="shared" si="17"/>
        <v>#N/A</v>
      </c>
    </row>
    <row r="448" spans="30:32" x14ac:dyDescent="0.25">
      <c r="AD448" t="e">
        <f>VLOOKUP(B448,COHVPI!A:N,14,0)</f>
        <v>#N/A</v>
      </c>
      <c r="AE448" s="95" t="e">
        <f>VLOOKUP(B448,COHVPI!A:E,5,0)</f>
        <v>#N/A</v>
      </c>
      <c r="AF448" s="95" t="e">
        <f t="shared" si="17"/>
        <v>#N/A</v>
      </c>
    </row>
    <row r="449" spans="30:32" x14ac:dyDescent="0.25">
      <c r="AD449" t="e">
        <f>VLOOKUP(B449,COHVPI!A:N,14,0)</f>
        <v>#N/A</v>
      </c>
      <c r="AE449" s="95" t="e">
        <f>VLOOKUP(B449,COHVPI!A:E,5,0)</f>
        <v>#N/A</v>
      </c>
      <c r="AF449" s="95" t="e">
        <f t="shared" si="17"/>
        <v>#N/A</v>
      </c>
    </row>
    <row r="450" spans="30:32" x14ac:dyDescent="0.25">
      <c r="AD450" t="e">
        <f>VLOOKUP(B450,COHVPI!A:N,14,0)</f>
        <v>#N/A</v>
      </c>
      <c r="AE450" s="95" t="e">
        <f>VLOOKUP(B450,COHVPI!A:E,5,0)</f>
        <v>#N/A</v>
      </c>
      <c r="AF450" s="95" t="e">
        <f t="shared" si="17"/>
        <v>#N/A</v>
      </c>
    </row>
    <row r="451" spans="30:32" x14ac:dyDescent="0.25">
      <c r="AD451" t="e">
        <f>VLOOKUP(B451,COHVPI!A:N,14,0)</f>
        <v>#N/A</v>
      </c>
      <c r="AE451" s="95" t="e">
        <f>VLOOKUP(B451,COHVPI!A:E,5,0)</f>
        <v>#N/A</v>
      </c>
      <c r="AF451" s="95" t="e">
        <f t="shared" si="17"/>
        <v>#N/A</v>
      </c>
    </row>
    <row r="452" spans="30:32" x14ac:dyDescent="0.25">
      <c r="AD452" t="e">
        <f>VLOOKUP(B452,COHVPI!A:N,14,0)</f>
        <v>#N/A</v>
      </c>
      <c r="AE452" s="95" t="e">
        <f>VLOOKUP(B452,COHVPI!A:E,5,0)</f>
        <v>#N/A</v>
      </c>
      <c r="AF452" s="95" t="e">
        <f t="shared" si="17"/>
        <v>#N/A</v>
      </c>
    </row>
    <row r="453" spans="30:32" x14ac:dyDescent="0.25">
      <c r="AD453" t="e">
        <f>VLOOKUP(B453,COHVPI!A:N,14,0)</f>
        <v>#N/A</v>
      </c>
      <c r="AE453" s="95" t="e">
        <f>VLOOKUP(B453,COHVPI!A:E,5,0)</f>
        <v>#N/A</v>
      </c>
      <c r="AF453" s="95" t="e">
        <f t="shared" si="17"/>
        <v>#N/A</v>
      </c>
    </row>
    <row r="454" spans="30:32" x14ac:dyDescent="0.25">
      <c r="AD454" t="e">
        <f>VLOOKUP(B454,COHVPI!A:N,14,0)</f>
        <v>#N/A</v>
      </c>
      <c r="AE454" s="95" t="e">
        <f>VLOOKUP(B454,COHVPI!A:E,5,0)</f>
        <v>#N/A</v>
      </c>
      <c r="AF454" s="95" t="e">
        <f t="shared" si="17"/>
        <v>#N/A</v>
      </c>
    </row>
    <row r="455" spans="30:32" x14ac:dyDescent="0.25">
      <c r="AD455" t="e">
        <f>VLOOKUP(B455,COHVPI!A:N,14,0)</f>
        <v>#N/A</v>
      </c>
      <c r="AE455" s="95" t="e">
        <f>VLOOKUP(B455,COHVPI!A:E,5,0)</f>
        <v>#N/A</v>
      </c>
      <c r="AF455" s="95" t="e">
        <f t="shared" si="17"/>
        <v>#N/A</v>
      </c>
    </row>
    <row r="456" spans="30:32" x14ac:dyDescent="0.25">
      <c r="AD456" t="e">
        <f>VLOOKUP(B456,COHVPI!A:N,14,0)</f>
        <v>#N/A</v>
      </c>
      <c r="AE456" s="95" t="e">
        <f>VLOOKUP(B456,COHVPI!A:E,5,0)</f>
        <v>#N/A</v>
      </c>
      <c r="AF456" s="95" t="e">
        <f t="shared" si="17"/>
        <v>#N/A</v>
      </c>
    </row>
    <row r="457" spans="30:32" x14ac:dyDescent="0.25">
      <c r="AD457" t="e">
        <f>VLOOKUP(B457,COHVPI!A:N,14,0)</f>
        <v>#N/A</v>
      </c>
      <c r="AE457" s="95" t="e">
        <f>VLOOKUP(B457,COHVPI!A:E,5,0)</f>
        <v>#N/A</v>
      </c>
      <c r="AF457" s="95" t="e">
        <f t="shared" si="17"/>
        <v>#N/A</v>
      </c>
    </row>
    <row r="458" spans="30:32" x14ac:dyDescent="0.25">
      <c r="AD458" t="e">
        <f>VLOOKUP(B458,COHVPI!A:N,14,0)</f>
        <v>#N/A</v>
      </c>
      <c r="AE458" s="95" t="e">
        <f>VLOOKUP(B458,COHVPI!A:E,5,0)</f>
        <v>#N/A</v>
      </c>
      <c r="AF458" s="95" t="e">
        <f t="shared" si="17"/>
        <v>#N/A</v>
      </c>
    </row>
    <row r="459" spans="30:32" x14ac:dyDescent="0.25">
      <c r="AD459" t="e">
        <f>VLOOKUP(B459,COHVPI!A:N,14,0)</f>
        <v>#N/A</v>
      </c>
      <c r="AE459" s="95" t="e">
        <f>VLOOKUP(B459,COHVPI!A:E,5,0)</f>
        <v>#N/A</v>
      </c>
      <c r="AF459" s="95" t="e">
        <f t="shared" si="17"/>
        <v>#N/A</v>
      </c>
    </row>
    <row r="460" spans="30:32" x14ac:dyDescent="0.25">
      <c r="AD460" t="e">
        <f>VLOOKUP(B460,COHVPI!A:N,14,0)</f>
        <v>#N/A</v>
      </c>
      <c r="AE460" s="95" t="e">
        <f>VLOOKUP(B460,COHVPI!A:E,5,0)</f>
        <v>#N/A</v>
      </c>
      <c r="AF460" s="95" t="e">
        <f t="shared" si="17"/>
        <v>#N/A</v>
      </c>
    </row>
    <row r="461" spans="30:32" x14ac:dyDescent="0.25">
      <c r="AD461" t="e">
        <f>VLOOKUP(B461,COHVPI!A:N,14,0)</f>
        <v>#N/A</v>
      </c>
      <c r="AE461" s="95" t="e">
        <f>VLOOKUP(B461,COHVPI!A:E,5,0)</f>
        <v>#N/A</v>
      </c>
      <c r="AF461" s="95" t="e">
        <f t="shared" si="17"/>
        <v>#N/A</v>
      </c>
    </row>
    <row r="462" spans="30:32" x14ac:dyDescent="0.25">
      <c r="AD462" t="e">
        <f>VLOOKUP(B462,COHVPI!A:N,14,0)</f>
        <v>#N/A</v>
      </c>
      <c r="AE462" s="95" t="e">
        <f>VLOOKUP(B462,COHVPI!A:E,5,0)</f>
        <v>#N/A</v>
      </c>
      <c r="AF462" s="95" t="e">
        <f t="shared" si="17"/>
        <v>#N/A</v>
      </c>
    </row>
    <row r="463" spans="30:32" x14ac:dyDescent="0.25">
      <c r="AD463" t="e">
        <f>VLOOKUP(B463,COHVPI!A:N,14,0)</f>
        <v>#N/A</v>
      </c>
      <c r="AE463" s="95" t="e">
        <f>VLOOKUP(B463,COHVPI!A:E,5,0)</f>
        <v>#N/A</v>
      </c>
      <c r="AF463" s="95" t="e">
        <f t="shared" si="17"/>
        <v>#N/A</v>
      </c>
    </row>
    <row r="464" spans="30:32" x14ac:dyDescent="0.25">
      <c r="AD464" t="e">
        <f>VLOOKUP(B464,COHVPI!A:N,14,0)</f>
        <v>#N/A</v>
      </c>
      <c r="AE464" s="95" t="e">
        <f>VLOOKUP(B464,COHVPI!A:E,5,0)</f>
        <v>#N/A</v>
      </c>
      <c r="AF464" s="95" t="e">
        <f t="shared" si="17"/>
        <v>#N/A</v>
      </c>
    </row>
    <row r="465" spans="30:32" x14ac:dyDescent="0.25">
      <c r="AD465" t="e">
        <f>VLOOKUP(B465,COHVPI!A:N,14,0)</f>
        <v>#N/A</v>
      </c>
      <c r="AE465" s="95" t="e">
        <f>VLOOKUP(B465,COHVPI!A:E,5,0)</f>
        <v>#N/A</v>
      </c>
      <c r="AF465" s="95" t="e">
        <f t="shared" ref="AF465:AF528" si="18">AE465-D465</f>
        <v>#N/A</v>
      </c>
    </row>
    <row r="466" spans="30:32" x14ac:dyDescent="0.25">
      <c r="AD466" t="e">
        <f>VLOOKUP(B466,COHVPI!A:N,14,0)</f>
        <v>#N/A</v>
      </c>
      <c r="AE466" s="95" t="e">
        <f>VLOOKUP(B466,COHVPI!A:E,5,0)</f>
        <v>#N/A</v>
      </c>
      <c r="AF466" s="95" t="e">
        <f t="shared" si="18"/>
        <v>#N/A</v>
      </c>
    </row>
    <row r="467" spans="30:32" x14ac:dyDescent="0.25">
      <c r="AD467" t="e">
        <f>VLOOKUP(B467,COHVPI!A:N,14,0)</f>
        <v>#N/A</v>
      </c>
      <c r="AE467" s="95" t="e">
        <f>VLOOKUP(B467,COHVPI!A:E,5,0)</f>
        <v>#N/A</v>
      </c>
      <c r="AF467" s="95" t="e">
        <f t="shared" si="18"/>
        <v>#N/A</v>
      </c>
    </row>
    <row r="468" spans="30:32" x14ac:dyDescent="0.25">
      <c r="AD468" t="e">
        <f>VLOOKUP(B468,COHVPI!A:N,14,0)</f>
        <v>#N/A</v>
      </c>
      <c r="AE468" s="95" t="e">
        <f>VLOOKUP(B468,COHVPI!A:E,5,0)</f>
        <v>#N/A</v>
      </c>
      <c r="AF468" s="95" t="e">
        <f t="shared" si="18"/>
        <v>#N/A</v>
      </c>
    </row>
    <row r="469" spans="30:32" x14ac:dyDescent="0.25">
      <c r="AD469" t="e">
        <f>VLOOKUP(B469,COHVPI!A:N,14,0)</f>
        <v>#N/A</v>
      </c>
      <c r="AE469" s="95" t="e">
        <f>VLOOKUP(B469,COHVPI!A:E,5,0)</f>
        <v>#N/A</v>
      </c>
      <c r="AF469" s="95" t="e">
        <f t="shared" si="18"/>
        <v>#N/A</v>
      </c>
    </row>
    <row r="470" spans="30:32" x14ac:dyDescent="0.25">
      <c r="AD470" t="e">
        <f>VLOOKUP(B470,COHVPI!A:N,14,0)</f>
        <v>#N/A</v>
      </c>
      <c r="AE470" s="95" t="e">
        <f>VLOOKUP(B470,COHVPI!A:E,5,0)</f>
        <v>#N/A</v>
      </c>
      <c r="AF470" s="95" t="e">
        <f t="shared" si="18"/>
        <v>#N/A</v>
      </c>
    </row>
    <row r="471" spans="30:32" x14ac:dyDescent="0.25">
      <c r="AD471" t="e">
        <f>VLOOKUP(B471,COHVPI!A:N,14,0)</f>
        <v>#N/A</v>
      </c>
      <c r="AE471" s="95" t="e">
        <f>VLOOKUP(B471,COHVPI!A:E,5,0)</f>
        <v>#N/A</v>
      </c>
      <c r="AF471" s="95" t="e">
        <f t="shared" si="18"/>
        <v>#N/A</v>
      </c>
    </row>
    <row r="472" spans="30:32" x14ac:dyDescent="0.25">
      <c r="AD472" t="e">
        <f>VLOOKUP(B472,COHVPI!A:N,14,0)</f>
        <v>#N/A</v>
      </c>
      <c r="AE472" s="95" t="e">
        <f>VLOOKUP(B472,COHVPI!A:E,5,0)</f>
        <v>#N/A</v>
      </c>
      <c r="AF472" s="95" t="e">
        <f t="shared" si="18"/>
        <v>#N/A</v>
      </c>
    </row>
    <row r="473" spans="30:32" x14ac:dyDescent="0.25">
      <c r="AD473" t="e">
        <f>VLOOKUP(B473,COHVPI!A:N,14,0)</f>
        <v>#N/A</v>
      </c>
      <c r="AE473" s="95" t="e">
        <f>VLOOKUP(B473,COHVPI!A:E,5,0)</f>
        <v>#N/A</v>
      </c>
      <c r="AF473" s="95" t="e">
        <f t="shared" si="18"/>
        <v>#N/A</v>
      </c>
    </row>
    <row r="474" spans="30:32" x14ac:dyDescent="0.25">
      <c r="AD474" t="e">
        <f>VLOOKUP(B474,COHVPI!A:N,14,0)</f>
        <v>#N/A</v>
      </c>
      <c r="AE474" s="95" t="e">
        <f>VLOOKUP(B474,COHVPI!A:E,5,0)</f>
        <v>#N/A</v>
      </c>
      <c r="AF474" s="95" t="e">
        <f t="shared" si="18"/>
        <v>#N/A</v>
      </c>
    </row>
    <row r="475" spans="30:32" x14ac:dyDescent="0.25">
      <c r="AD475" t="e">
        <f>VLOOKUP(B475,COHVPI!A:N,14,0)</f>
        <v>#N/A</v>
      </c>
      <c r="AE475" s="95" t="e">
        <f>VLOOKUP(B475,COHVPI!A:E,5,0)</f>
        <v>#N/A</v>
      </c>
      <c r="AF475" s="95" t="e">
        <f t="shared" si="18"/>
        <v>#N/A</v>
      </c>
    </row>
    <row r="476" spans="30:32" x14ac:dyDescent="0.25">
      <c r="AD476" t="e">
        <f>VLOOKUP(B476,COHVPI!A:N,14,0)</f>
        <v>#N/A</v>
      </c>
      <c r="AE476" s="95" t="e">
        <f>VLOOKUP(B476,COHVPI!A:E,5,0)</f>
        <v>#N/A</v>
      </c>
      <c r="AF476" s="95" t="e">
        <f t="shared" si="18"/>
        <v>#N/A</v>
      </c>
    </row>
    <row r="477" spans="30:32" x14ac:dyDescent="0.25">
      <c r="AD477" t="e">
        <f>VLOOKUP(B477,COHVPI!A:N,14,0)</f>
        <v>#N/A</v>
      </c>
      <c r="AE477" s="95" t="e">
        <f>VLOOKUP(B477,COHVPI!A:E,5,0)</f>
        <v>#N/A</v>
      </c>
      <c r="AF477" s="95" t="e">
        <f t="shared" si="18"/>
        <v>#N/A</v>
      </c>
    </row>
    <row r="478" spans="30:32" x14ac:dyDescent="0.25">
      <c r="AD478" t="e">
        <f>VLOOKUP(B478,COHVPI!A:N,14,0)</f>
        <v>#N/A</v>
      </c>
      <c r="AE478" s="95" t="e">
        <f>VLOOKUP(B478,COHVPI!A:E,5,0)</f>
        <v>#N/A</v>
      </c>
      <c r="AF478" s="95" t="e">
        <f t="shared" si="18"/>
        <v>#N/A</v>
      </c>
    </row>
    <row r="479" spans="30:32" x14ac:dyDescent="0.25">
      <c r="AD479" t="e">
        <f>VLOOKUP(B479,COHVPI!A:N,14,0)</f>
        <v>#N/A</v>
      </c>
      <c r="AE479" s="95" t="e">
        <f>VLOOKUP(B479,COHVPI!A:E,5,0)</f>
        <v>#N/A</v>
      </c>
      <c r="AF479" s="95" t="e">
        <f t="shared" si="18"/>
        <v>#N/A</v>
      </c>
    </row>
    <row r="480" spans="30:32" x14ac:dyDescent="0.25">
      <c r="AD480" t="e">
        <f>VLOOKUP(B480,COHVPI!A:N,14,0)</f>
        <v>#N/A</v>
      </c>
      <c r="AE480" s="95" t="e">
        <f>VLOOKUP(B480,COHVPI!A:E,5,0)</f>
        <v>#N/A</v>
      </c>
      <c r="AF480" s="95" t="e">
        <f t="shared" si="18"/>
        <v>#N/A</v>
      </c>
    </row>
    <row r="481" spans="30:32" x14ac:dyDescent="0.25">
      <c r="AD481" t="e">
        <f>VLOOKUP(B481,COHVPI!A:N,14,0)</f>
        <v>#N/A</v>
      </c>
      <c r="AE481" s="95" t="e">
        <f>VLOOKUP(B481,COHVPI!A:E,5,0)</f>
        <v>#N/A</v>
      </c>
      <c r="AF481" s="95" t="e">
        <f t="shared" si="18"/>
        <v>#N/A</v>
      </c>
    </row>
    <row r="482" spans="30:32" x14ac:dyDescent="0.25">
      <c r="AD482" t="e">
        <f>VLOOKUP(B482,COHVPI!A:N,14,0)</f>
        <v>#N/A</v>
      </c>
      <c r="AE482" s="95" t="e">
        <f>VLOOKUP(B482,COHVPI!A:E,5,0)</f>
        <v>#N/A</v>
      </c>
      <c r="AF482" s="95" t="e">
        <f t="shared" si="18"/>
        <v>#N/A</v>
      </c>
    </row>
    <row r="483" spans="30:32" x14ac:dyDescent="0.25">
      <c r="AD483" t="e">
        <f>VLOOKUP(B483,COHVPI!A:N,14,0)</f>
        <v>#N/A</v>
      </c>
      <c r="AE483" s="95" t="e">
        <f>VLOOKUP(B483,COHVPI!A:E,5,0)</f>
        <v>#N/A</v>
      </c>
      <c r="AF483" s="95" t="e">
        <f t="shared" si="18"/>
        <v>#N/A</v>
      </c>
    </row>
    <row r="484" spans="30:32" x14ac:dyDescent="0.25">
      <c r="AD484" t="e">
        <f>VLOOKUP(B484,COHVPI!A:N,14,0)</f>
        <v>#N/A</v>
      </c>
      <c r="AE484" s="95" t="e">
        <f>VLOOKUP(B484,COHVPI!A:E,5,0)</f>
        <v>#N/A</v>
      </c>
      <c r="AF484" s="95" t="e">
        <f t="shared" si="18"/>
        <v>#N/A</v>
      </c>
    </row>
    <row r="485" spans="30:32" x14ac:dyDescent="0.25">
      <c r="AD485" t="e">
        <f>VLOOKUP(B485,COHVPI!A:N,14,0)</f>
        <v>#N/A</v>
      </c>
      <c r="AE485" s="95" t="e">
        <f>VLOOKUP(B485,COHVPI!A:E,5,0)</f>
        <v>#N/A</v>
      </c>
      <c r="AF485" s="95" t="e">
        <f t="shared" si="18"/>
        <v>#N/A</v>
      </c>
    </row>
    <row r="486" spans="30:32" x14ac:dyDescent="0.25">
      <c r="AD486" t="e">
        <f>VLOOKUP(B486,COHVPI!A:N,14,0)</f>
        <v>#N/A</v>
      </c>
      <c r="AE486" s="95" t="e">
        <f>VLOOKUP(B486,COHVPI!A:E,5,0)</f>
        <v>#N/A</v>
      </c>
      <c r="AF486" s="95" t="e">
        <f t="shared" si="18"/>
        <v>#N/A</v>
      </c>
    </row>
    <row r="487" spans="30:32" x14ac:dyDescent="0.25">
      <c r="AD487" t="e">
        <f>VLOOKUP(B487,COHVPI!A:N,14,0)</f>
        <v>#N/A</v>
      </c>
      <c r="AE487" s="95" t="e">
        <f>VLOOKUP(B487,COHVPI!A:E,5,0)</f>
        <v>#N/A</v>
      </c>
      <c r="AF487" s="95" t="e">
        <f t="shared" si="18"/>
        <v>#N/A</v>
      </c>
    </row>
    <row r="488" spans="30:32" x14ac:dyDescent="0.25">
      <c r="AD488" t="e">
        <f>VLOOKUP(B488,COHVPI!A:N,14,0)</f>
        <v>#N/A</v>
      </c>
      <c r="AE488" s="95" t="e">
        <f>VLOOKUP(B488,COHVPI!A:E,5,0)</f>
        <v>#N/A</v>
      </c>
      <c r="AF488" s="95" t="e">
        <f t="shared" si="18"/>
        <v>#N/A</v>
      </c>
    </row>
    <row r="489" spans="30:32" x14ac:dyDescent="0.25">
      <c r="AD489" t="e">
        <f>VLOOKUP(B489,COHVPI!A:N,14,0)</f>
        <v>#N/A</v>
      </c>
      <c r="AE489" s="95" t="e">
        <f>VLOOKUP(B489,COHVPI!A:E,5,0)</f>
        <v>#N/A</v>
      </c>
      <c r="AF489" s="95" t="e">
        <f t="shared" si="18"/>
        <v>#N/A</v>
      </c>
    </row>
    <row r="490" spans="30:32" x14ac:dyDescent="0.25">
      <c r="AD490" t="e">
        <f>VLOOKUP(B490,COHVPI!A:N,14,0)</f>
        <v>#N/A</v>
      </c>
      <c r="AE490" s="95" t="e">
        <f>VLOOKUP(B490,COHVPI!A:E,5,0)</f>
        <v>#N/A</v>
      </c>
      <c r="AF490" s="95" t="e">
        <f t="shared" si="18"/>
        <v>#N/A</v>
      </c>
    </row>
    <row r="491" spans="30:32" x14ac:dyDescent="0.25">
      <c r="AD491" t="e">
        <f>VLOOKUP(B491,COHVPI!A:N,14,0)</f>
        <v>#N/A</v>
      </c>
      <c r="AE491" s="95" t="e">
        <f>VLOOKUP(B491,COHVPI!A:E,5,0)</f>
        <v>#N/A</v>
      </c>
      <c r="AF491" s="95" t="e">
        <f t="shared" si="18"/>
        <v>#N/A</v>
      </c>
    </row>
    <row r="492" spans="30:32" x14ac:dyDescent="0.25">
      <c r="AD492" t="e">
        <f>VLOOKUP(B492,COHVPI!A:N,14,0)</f>
        <v>#N/A</v>
      </c>
      <c r="AE492" s="95" t="e">
        <f>VLOOKUP(B492,COHVPI!A:E,5,0)</f>
        <v>#N/A</v>
      </c>
      <c r="AF492" s="95" t="e">
        <f t="shared" si="18"/>
        <v>#N/A</v>
      </c>
    </row>
    <row r="493" spans="30:32" x14ac:dyDescent="0.25">
      <c r="AD493" t="e">
        <f>VLOOKUP(B493,COHVPI!A:N,14,0)</f>
        <v>#N/A</v>
      </c>
      <c r="AE493" s="95" t="e">
        <f>VLOOKUP(B493,COHVPI!A:E,5,0)</f>
        <v>#N/A</v>
      </c>
      <c r="AF493" s="95" t="e">
        <f t="shared" si="18"/>
        <v>#N/A</v>
      </c>
    </row>
    <row r="494" spans="30:32" x14ac:dyDescent="0.25">
      <c r="AD494" t="e">
        <f>VLOOKUP(B494,COHVPI!A:N,14,0)</f>
        <v>#N/A</v>
      </c>
      <c r="AE494" s="95" t="e">
        <f>VLOOKUP(B494,COHVPI!A:E,5,0)</f>
        <v>#N/A</v>
      </c>
      <c r="AF494" s="95" t="e">
        <f t="shared" si="18"/>
        <v>#N/A</v>
      </c>
    </row>
    <row r="495" spans="30:32" x14ac:dyDescent="0.25">
      <c r="AD495" t="e">
        <f>VLOOKUP(B495,COHVPI!A:N,14,0)</f>
        <v>#N/A</v>
      </c>
      <c r="AE495" s="95" t="e">
        <f>VLOOKUP(B495,COHVPI!A:E,5,0)</f>
        <v>#N/A</v>
      </c>
      <c r="AF495" s="95" t="e">
        <f t="shared" si="18"/>
        <v>#N/A</v>
      </c>
    </row>
    <row r="496" spans="30:32" x14ac:dyDescent="0.25">
      <c r="AD496" t="e">
        <f>VLOOKUP(B496,COHVPI!A:N,14,0)</f>
        <v>#N/A</v>
      </c>
      <c r="AE496" s="95" t="e">
        <f>VLOOKUP(B496,COHVPI!A:E,5,0)</f>
        <v>#N/A</v>
      </c>
      <c r="AF496" s="95" t="e">
        <f t="shared" si="18"/>
        <v>#N/A</v>
      </c>
    </row>
    <row r="497" spans="30:32" x14ac:dyDescent="0.25">
      <c r="AD497" t="e">
        <f>VLOOKUP(B497,COHVPI!A:N,14,0)</f>
        <v>#N/A</v>
      </c>
      <c r="AE497" s="95" t="e">
        <f>VLOOKUP(B497,COHVPI!A:E,5,0)</f>
        <v>#N/A</v>
      </c>
      <c r="AF497" s="95" t="e">
        <f t="shared" si="18"/>
        <v>#N/A</v>
      </c>
    </row>
    <row r="498" spans="30:32" x14ac:dyDescent="0.25">
      <c r="AD498" t="e">
        <f>VLOOKUP(B498,COHVPI!A:N,14,0)</f>
        <v>#N/A</v>
      </c>
      <c r="AE498" s="95" t="e">
        <f>VLOOKUP(B498,COHVPI!A:E,5,0)</f>
        <v>#N/A</v>
      </c>
      <c r="AF498" s="95" t="e">
        <f t="shared" si="18"/>
        <v>#N/A</v>
      </c>
    </row>
    <row r="499" spans="30:32" x14ac:dyDescent="0.25">
      <c r="AD499" t="e">
        <f>VLOOKUP(B499,COHVPI!A:N,14,0)</f>
        <v>#N/A</v>
      </c>
      <c r="AE499" s="95" t="e">
        <f>VLOOKUP(B499,COHVPI!A:E,5,0)</f>
        <v>#N/A</v>
      </c>
      <c r="AF499" s="95" t="e">
        <f t="shared" si="18"/>
        <v>#N/A</v>
      </c>
    </row>
    <row r="500" spans="30:32" x14ac:dyDescent="0.25">
      <c r="AD500" t="e">
        <f>VLOOKUP(B500,COHVPI!A:N,14,0)</f>
        <v>#N/A</v>
      </c>
      <c r="AE500" s="95" t="e">
        <f>VLOOKUP(B500,COHVPI!A:E,5,0)</f>
        <v>#N/A</v>
      </c>
      <c r="AF500" s="95" t="e">
        <f t="shared" si="18"/>
        <v>#N/A</v>
      </c>
    </row>
    <row r="501" spans="30:32" x14ac:dyDescent="0.25">
      <c r="AD501" t="e">
        <f>VLOOKUP(B501,COHVPI!A:N,14,0)</f>
        <v>#N/A</v>
      </c>
      <c r="AE501" s="95" t="e">
        <f>VLOOKUP(B501,COHVPI!A:E,5,0)</f>
        <v>#N/A</v>
      </c>
      <c r="AF501" s="95" t="e">
        <f t="shared" si="18"/>
        <v>#N/A</v>
      </c>
    </row>
    <row r="502" spans="30:32" x14ac:dyDescent="0.25">
      <c r="AD502" t="e">
        <f>VLOOKUP(B502,COHVPI!A:N,14,0)</f>
        <v>#N/A</v>
      </c>
      <c r="AE502" s="95" t="e">
        <f>VLOOKUP(B502,COHVPI!A:E,5,0)</f>
        <v>#N/A</v>
      </c>
      <c r="AF502" s="95" t="e">
        <f t="shared" si="18"/>
        <v>#N/A</v>
      </c>
    </row>
    <row r="503" spans="30:32" x14ac:dyDescent="0.25">
      <c r="AD503" t="e">
        <f>VLOOKUP(B503,COHVPI!A:N,14,0)</f>
        <v>#N/A</v>
      </c>
      <c r="AE503" s="95" t="e">
        <f>VLOOKUP(B503,COHVPI!A:E,5,0)</f>
        <v>#N/A</v>
      </c>
      <c r="AF503" s="95" t="e">
        <f t="shared" si="18"/>
        <v>#N/A</v>
      </c>
    </row>
    <row r="504" spans="30:32" x14ac:dyDescent="0.25">
      <c r="AD504" t="e">
        <f>VLOOKUP(B504,COHVPI!A:N,14,0)</f>
        <v>#N/A</v>
      </c>
      <c r="AE504" s="95" t="e">
        <f>VLOOKUP(B504,COHVPI!A:E,5,0)</f>
        <v>#N/A</v>
      </c>
      <c r="AF504" s="95" t="e">
        <f t="shared" si="18"/>
        <v>#N/A</v>
      </c>
    </row>
    <row r="505" spans="30:32" x14ac:dyDescent="0.25">
      <c r="AD505" t="e">
        <f>VLOOKUP(B505,COHVPI!A:N,14,0)</f>
        <v>#N/A</v>
      </c>
      <c r="AE505" s="95" t="e">
        <f>VLOOKUP(B505,COHVPI!A:E,5,0)</f>
        <v>#N/A</v>
      </c>
      <c r="AF505" s="95" t="e">
        <f t="shared" si="18"/>
        <v>#N/A</v>
      </c>
    </row>
    <row r="506" spans="30:32" x14ac:dyDescent="0.25">
      <c r="AD506" t="e">
        <f>VLOOKUP(B506,COHVPI!A:N,14,0)</f>
        <v>#N/A</v>
      </c>
      <c r="AE506" s="95" t="e">
        <f>VLOOKUP(B506,COHVPI!A:E,5,0)</f>
        <v>#N/A</v>
      </c>
      <c r="AF506" s="95" t="e">
        <f t="shared" si="18"/>
        <v>#N/A</v>
      </c>
    </row>
    <row r="507" spans="30:32" x14ac:dyDescent="0.25">
      <c r="AD507" t="e">
        <f>VLOOKUP(B507,COHVPI!A:N,14,0)</f>
        <v>#N/A</v>
      </c>
      <c r="AE507" s="95" t="e">
        <f>VLOOKUP(B507,COHVPI!A:E,5,0)</f>
        <v>#N/A</v>
      </c>
      <c r="AF507" s="95" t="e">
        <f t="shared" si="18"/>
        <v>#N/A</v>
      </c>
    </row>
    <row r="508" spans="30:32" x14ac:dyDescent="0.25">
      <c r="AD508" t="e">
        <f>VLOOKUP(B508,COHVPI!A:N,14,0)</f>
        <v>#N/A</v>
      </c>
      <c r="AE508" s="95" t="e">
        <f>VLOOKUP(B508,COHVPI!A:E,5,0)</f>
        <v>#N/A</v>
      </c>
      <c r="AF508" s="95" t="e">
        <f t="shared" si="18"/>
        <v>#N/A</v>
      </c>
    </row>
    <row r="509" spans="30:32" x14ac:dyDescent="0.25">
      <c r="AD509" t="e">
        <f>VLOOKUP(B509,COHVPI!A:N,14,0)</f>
        <v>#N/A</v>
      </c>
      <c r="AE509" s="95" t="e">
        <f>VLOOKUP(B509,COHVPI!A:E,5,0)</f>
        <v>#N/A</v>
      </c>
      <c r="AF509" s="95" t="e">
        <f t="shared" si="18"/>
        <v>#N/A</v>
      </c>
    </row>
    <row r="510" spans="30:32" x14ac:dyDescent="0.25">
      <c r="AD510" t="e">
        <f>VLOOKUP(B510,COHVPI!A:N,14,0)</f>
        <v>#N/A</v>
      </c>
      <c r="AE510" s="95" t="e">
        <f>VLOOKUP(B510,COHVPI!A:E,5,0)</f>
        <v>#N/A</v>
      </c>
      <c r="AF510" s="95" t="e">
        <f t="shared" si="18"/>
        <v>#N/A</v>
      </c>
    </row>
    <row r="511" spans="30:32" x14ac:dyDescent="0.25">
      <c r="AD511" t="e">
        <f>VLOOKUP(B511,COHVPI!A:N,14,0)</f>
        <v>#N/A</v>
      </c>
      <c r="AE511" s="95" t="e">
        <f>VLOOKUP(B511,COHVPI!A:E,5,0)</f>
        <v>#N/A</v>
      </c>
      <c r="AF511" s="95" t="e">
        <f t="shared" si="18"/>
        <v>#N/A</v>
      </c>
    </row>
    <row r="512" spans="30:32" x14ac:dyDescent="0.25">
      <c r="AD512" t="e">
        <f>VLOOKUP(B512,COHVPI!A:N,14,0)</f>
        <v>#N/A</v>
      </c>
      <c r="AE512" s="95" t="e">
        <f>VLOOKUP(B512,COHVPI!A:E,5,0)</f>
        <v>#N/A</v>
      </c>
      <c r="AF512" s="95" t="e">
        <f t="shared" si="18"/>
        <v>#N/A</v>
      </c>
    </row>
    <row r="513" spans="30:32" x14ac:dyDescent="0.25">
      <c r="AD513" t="e">
        <f>VLOOKUP(B513,COHVPI!A:N,14,0)</f>
        <v>#N/A</v>
      </c>
      <c r="AE513" s="95" t="e">
        <f>VLOOKUP(B513,COHVPI!A:E,5,0)</f>
        <v>#N/A</v>
      </c>
      <c r="AF513" s="95" t="e">
        <f t="shared" si="18"/>
        <v>#N/A</v>
      </c>
    </row>
    <row r="514" spans="30:32" x14ac:dyDescent="0.25">
      <c r="AD514" t="e">
        <f>VLOOKUP(B514,COHVPI!A:N,14,0)</f>
        <v>#N/A</v>
      </c>
      <c r="AE514" s="95" t="e">
        <f>VLOOKUP(B514,COHVPI!A:E,5,0)</f>
        <v>#N/A</v>
      </c>
      <c r="AF514" s="95" t="e">
        <f t="shared" si="18"/>
        <v>#N/A</v>
      </c>
    </row>
    <row r="515" spans="30:32" x14ac:dyDescent="0.25">
      <c r="AD515" t="e">
        <f>VLOOKUP(B515,COHVPI!A:N,14,0)</f>
        <v>#N/A</v>
      </c>
      <c r="AE515" s="95" t="e">
        <f>VLOOKUP(B515,COHVPI!A:E,5,0)</f>
        <v>#N/A</v>
      </c>
      <c r="AF515" s="95" t="e">
        <f t="shared" si="18"/>
        <v>#N/A</v>
      </c>
    </row>
    <row r="516" spans="30:32" x14ac:dyDescent="0.25">
      <c r="AD516" t="e">
        <f>VLOOKUP(B516,COHVPI!A:N,14,0)</f>
        <v>#N/A</v>
      </c>
      <c r="AE516" s="95" t="e">
        <f>VLOOKUP(B516,COHVPI!A:E,5,0)</f>
        <v>#N/A</v>
      </c>
      <c r="AF516" s="95" t="e">
        <f t="shared" si="18"/>
        <v>#N/A</v>
      </c>
    </row>
    <row r="517" spans="30:32" x14ac:dyDescent="0.25">
      <c r="AD517" t="e">
        <f>VLOOKUP(B517,COHVPI!A:N,14,0)</f>
        <v>#N/A</v>
      </c>
      <c r="AE517" s="95" t="e">
        <f>VLOOKUP(B517,COHVPI!A:E,5,0)</f>
        <v>#N/A</v>
      </c>
      <c r="AF517" s="95" t="e">
        <f t="shared" si="18"/>
        <v>#N/A</v>
      </c>
    </row>
    <row r="518" spans="30:32" x14ac:dyDescent="0.25">
      <c r="AD518" t="e">
        <f>VLOOKUP(B518,COHVPI!A:N,14,0)</f>
        <v>#N/A</v>
      </c>
      <c r="AE518" s="95" t="e">
        <f>VLOOKUP(B518,COHVPI!A:E,5,0)</f>
        <v>#N/A</v>
      </c>
      <c r="AF518" s="95" t="e">
        <f t="shared" si="18"/>
        <v>#N/A</v>
      </c>
    </row>
    <row r="519" spans="30:32" x14ac:dyDescent="0.25">
      <c r="AD519" t="e">
        <f>VLOOKUP(B519,COHVPI!A:N,14,0)</f>
        <v>#N/A</v>
      </c>
      <c r="AE519" s="95" t="e">
        <f>VLOOKUP(B519,COHVPI!A:E,5,0)</f>
        <v>#N/A</v>
      </c>
      <c r="AF519" s="95" t="e">
        <f t="shared" si="18"/>
        <v>#N/A</v>
      </c>
    </row>
    <row r="520" spans="30:32" x14ac:dyDescent="0.25">
      <c r="AD520" t="e">
        <f>VLOOKUP(B520,COHVPI!A:N,14,0)</f>
        <v>#N/A</v>
      </c>
      <c r="AE520" s="95" t="e">
        <f>VLOOKUP(B520,COHVPI!A:E,5,0)</f>
        <v>#N/A</v>
      </c>
      <c r="AF520" s="95" t="e">
        <f t="shared" si="18"/>
        <v>#N/A</v>
      </c>
    </row>
    <row r="521" spans="30:32" x14ac:dyDescent="0.25">
      <c r="AD521" t="e">
        <f>VLOOKUP(B521,COHVPI!A:N,14,0)</f>
        <v>#N/A</v>
      </c>
      <c r="AE521" s="95" t="e">
        <f>VLOOKUP(B521,COHVPI!A:E,5,0)</f>
        <v>#N/A</v>
      </c>
      <c r="AF521" s="95" t="e">
        <f t="shared" si="18"/>
        <v>#N/A</v>
      </c>
    </row>
    <row r="522" spans="30:32" x14ac:dyDescent="0.25">
      <c r="AD522" t="e">
        <f>VLOOKUP(B522,COHVPI!A:N,14,0)</f>
        <v>#N/A</v>
      </c>
      <c r="AE522" s="95" t="e">
        <f>VLOOKUP(B522,COHVPI!A:E,5,0)</f>
        <v>#N/A</v>
      </c>
      <c r="AF522" s="95" t="e">
        <f t="shared" si="18"/>
        <v>#N/A</v>
      </c>
    </row>
    <row r="523" spans="30:32" x14ac:dyDescent="0.25">
      <c r="AD523" t="e">
        <f>VLOOKUP(B523,COHVPI!A:N,14,0)</f>
        <v>#N/A</v>
      </c>
      <c r="AE523" s="95" t="e">
        <f>VLOOKUP(B523,COHVPI!A:E,5,0)</f>
        <v>#N/A</v>
      </c>
      <c r="AF523" s="95" t="e">
        <f t="shared" si="18"/>
        <v>#N/A</v>
      </c>
    </row>
    <row r="524" spans="30:32" x14ac:dyDescent="0.25">
      <c r="AD524" t="e">
        <f>VLOOKUP(B524,COHVPI!A:N,14,0)</f>
        <v>#N/A</v>
      </c>
      <c r="AE524" s="95" t="e">
        <f>VLOOKUP(B524,COHVPI!A:E,5,0)</f>
        <v>#N/A</v>
      </c>
      <c r="AF524" s="95" t="e">
        <f t="shared" si="18"/>
        <v>#N/A</v>
      </c>
    </row>
    <row r="525" spans="30:32" x14ac:dyDescent="0.25">
      <c r="AD525" t="e">
        <f>VLOOKUP(B525,COHVPI!A:N,14,0)</f>
        <v>#N/A</v>
      </c>
      <c r="AE525" s="95" t="e">
        <f>VLOOKUP(B525,COHVPI!A:E,5,0)</f>
        <v>#N/A</v>
      </c>
      <c r="AF525" s="95" t="e">
        <f t="shared" si="18"/>
        <v>#N/A</v>
      </c>
    </row>
    <row r="526" spans="30:32" x14ac:dyDescent="0.25">
      <c r="AD526" t="e">
        <f>VLOOKUP(B526,COHVPI!A:N,14,0)</f>
        <v>#N/A</v>
      </c>
      <c r="AE526" s="95" t="e">
        <f>VLOOKUP(B526,COHVPI!A:E,5,0)</f>
        <v>#N/A</v>
      </c>
      <c r="AF526" s="95" t="e">
        <f t="shared" si="18"/>
        <v>#N/A</v>
      </c>
    </row>
    <row r="527" spans="30:32" x14ac:dyDescent="0.25">
      <c r="AD527" t="e">
        <f>VLOOKUP(B527,COHVPI!A:N,14,0)</f>
        <v>#N/A</v>
      </c>
      <c r="AE527" s="95" t="e">
        <f>VLOOKUP(B527,COHVPI!A:E,5,0)</f>
        <v>#N/A</v>
      </c>
      <c r="AF527" s="95" t="e">
        <f t="shared" si="18"/>
        <v>#N/A</v>
      </c>
    </row>
    <row r="528" spans="30:32" x14ac:dyDescent="0.25">
      <c r="AD528" t="e">
        <f>VLOOKUP(B528,COHVPI!A:N,14,0)</f>
        <v>#N/A</v>
      </c>
      <c r="AE528" s="95" t="e">
        <f>VLOOKUP(B528,COHVPI!A:E,5,0)</f>
        <v>#N/A</v>
      </c>
      <c r="AF528" s="95" t="e">
        <f t="shared" si="18"/>
        <v>#N/A</v>
      </c>
    </row>
    <row r="529" spans="30:32" x14ac:dyDescent="0.25">
      <c r="AD529" t="e">
        <f>VLOOKUP(B529,COHVPI!A:N,14,0)</f>
        <v>#N/A</v>
      </c>
      <c r="AE529" s="95" t="e">
        <f>VLOOKUP(B529,COHVPI!A:E,5,0)</f>
        <v>#N/A</v>
      </c>
      <c r="AF529" s="95" t="e">
        <f t="shared" ref="AF529:AF592" si="19">AE529-D529</f>
        <v>#N/A</v>
      </c>
    </row>
    <row r="530" spans="30:32" x14ac:dyDescent="0.25">
      <c r="AD530" t="e">
        <f>VLOOKUP(B530,COHVPI!A:N,14,0)</f>
        <v>#N/A</v>
      </c>
      <c r="AE530" s="95" t="e">
        <f>VLOOKUP(B530,COHVPI!A:E,5,0)</f>
        <v>#N/A</v>
      </c>
      <c r="AF530" s="95" t="e">
        <f t="shared" si="19"/>
        <v>#N/A</v>
      </c>
    </row>
    <row r="531" spans="30:32" x14ac:dyDescent="0.25">
      <c r="AD531" t="e">
        <f>VLOOKUP(B531,COHVPI!A:N,14,0)</f>
        <v>#N/A</v>
      </c>
      <c r="AE531" s="95" t="e">
        <f>VLOOKUP(B531,COHVPI!A:E,5,0)</f>
        <v>#N/A</v>
      </c>
      <c r="AF531" s="95" t="e">
        <f t="shared" si="19"/>
        <v>#N/A</v>
      </c>
    </row>
    <row r="532" spans="30:32" x14ac:dyDescent="0.25">
      <c r="AD532" t="e">
        <f>VLOOKUP(B532,COHVPI!A:N,14,0)</f>
        <v>#N/A</v>
      </c>
      <c r="AE532" s="95" t="e">
        <f>VLOOKUP(B532,COHVPI!A:E,5,0)</f>
        <v>#N/A</v>
      </c>
      <c r="AF532" s="95" t="e">
        <f t="shared" si="19"/>
        <v>#N/A</v>
      </c>
    </row>
    <row r="533" spans="30:32" x14ac:dyDescent="0.25">
      <c r="AD533" t="e">
        <f>VLOOKUP(B533,COHVPI!A:N,14,0)</f>
        <v>#N/A</v>
      </c>
      <c r="AE533" s="95" t="e">
        <f>VLOOKUP(B533,COHVPI!A:E,5,0)</f>
        <v>#N/A</v>
      </c>
      <c r="AF533" s="95" t="e">
        <f t="shared" si="19"/>
        <v>#N/A</v>
      </c>
    </row>
    <row r="534" spans="30:32" x14ac:dyDescent="0.25">
      <c r="AD534" t="e">
        <f>VLOOKUP(B534,COHVPI!A:N,14,0)</f>
        <v>#N/A</v>
      </c>
      <c r="AE534" s="95" t="e">
        <f>VLOOKUP(B534,COHVPI!A:E,5,0)</f>
        <v>#N/A</v>
      </c>
      <c r="AF534" s="95" t="e">
        <f t="shared" si="19"/>
        <v>#N/A</v>
      </c>
    </row>
    <row r="535" spans="30:32" x14ac:dyDescent="0.25">
      <c r="AD535" t="e">
        <f>VLOOKUP(B535,COHVPI!A:N,14,0)</f>
        <v>#N/A</v>
      </c>
      <c r="AE535" s="95" t="e">
        <f>VLOOKUP(B535,COHVPI!A:E,5,0)</f>
        <v>#N/A</v>
      </c>
      <c r="AF535" s="95" t="e">
        <f t="shared" si="19"/>
        <v>#N/A</v>
      </c>
    </row>
    <row r="536" spans="30:32" x14ac:dyDescent="0.25">
      <c r="AD536" t="e">
        <f>VLOOKUP(B536,COHVPI!A:N,14,0)</f>
        <v>#N/A</v>
      </c>
      <c r="AE536" s="95" t="e">
        <f>VLOOKUP(B536,COHVPI!A:E,5,0)</f>
        <v>#N/A</v>
      </c>
      <c r="AF536" s="95" t="e">
        <f t="shared" si="19"/>
        <v>#N/A</v>
      </c>
    </row>
    <row r="537" spans="30:32" x14ac:dyDescent="0.25">
      <c r="AD537" t="e">
        <f>VLOOKUP(B537,COHVPI!A:N,14,0)</f>
        <v>#N/A</v>
      </c>
      <c r="AE537" s="95" t="e">
        <f>VLOOKUP(B537,COHVPI!A:E,5,0)</f>
        <v>#N/A</v>
      </c>
      <c r="AF537" s="95" t="e">
        <f t="shared" si="19"/>
        <v>#N/A</v>
      </c>
    </row>
    <row r="538" spans="30:32" x14ac:dyDescent="0.25">
      <c r="AD538" t="e">
        <f>VLOOKUP(B538,COHVPI!A:N,14,0)</f>
        <v>#N/A</v>
      </c>
      <c r="AE538" s="95" t="e">
        <f>VLOOKUP(B538,COHVPI!A:E,5,0)</f>
        <v>#N/A</v>
      </c>
      <c r="AF538" s="95" t="e">
        <f t="shared" si="19"/>
        <v>#N/A</v>
      </c>
    </row>
    <row r="539" spans="30:32" x14ac:dyDescent="0.25">
      <c r="AD539" t="e">
        <f>VLOOKUP(B539,COHVPI!A:N,14,0)</f>
        <v>#N/A</v>
      </c>
      <c r="AE539" s="95" t="e">
        <f>VLOOKUP(B539,COHVPI!A:E,5,0)</f>
        <v>#N/A</v>
      </c>
      <c r="AF539" s="95" t="e">
        <f t="shared" si="19"/>
        <v>#N/A</v>
      </c>
    </row>
    <row r="540" spans="30:32" x14ac:dyDescent="0.25">
      <c r="AD540" t="e">
        <f>VLOOKUP(B540,COHVPI!A:N,14,0)</f>
        <v>#N/A</v>
      </c>
      <c r="AE540" s="95" t="e">
        <f>VLOOKUP(B540,COHVPI!A:E,5,0)</f>
        <v>#N/A</v>
      </c>
      <c r="AF540" s="95" t="e">
        <f t="shared" si="19"/>
        <v>#N/A</v>
      </c>
    </row>
    <row r="541" spans="30:32" x14ac:dyDescent="0.25">
      <c r="AD541" t="e">
        <f>VLOOKUP(B541,COHVPI!A:N,14,0)</f>
        <v>#N/A</v>
      </c>
      <c r="AE541" s="95" t="e">
        <f>VLOOKUP(B541,COHVPI!A:E,5,0)</f>
        <v>#N/A</v>
      </c>
      <c r="AF541" s="95" t="e">
        <f t="shared" si="19"/>
        <v>#N/A</v>
      </c>
    </row>
    <row r="542" spans="30:32" x14ac:dyDescent="0.25">
      <c r="AD542" t="e">
        <f>VLOOKUP(B542,COHVPI!A:N,14,0)</f>
        <v>#N/A</v>
      </c>
      <c r="AE542" s="95" t="e">
        <f>VLOOKUP(B542,COHVPI!A:E,5,0)</f>
        <v>#N/A</v>
      </c>
      <c r="AF542" s="95" t="e">
        <f t="shared" si="19"/>
        <v>#N/A</v>
      </c>
    </row>
    <row r="543" spans="30:32" x14ac:dyDescent="0.25">
      <c r="AD543" t="e">
        <f>VLOOKUP(B543,COHVPI!A:N,14,0)</f>
        <v>#N/A</v>
      </c>
      <c r="AE543" s="95" t="e">
        <f>VLOOKUP(B543,COHVPI!A:E,5,0)</f>
        <v>#N/A</v>
      </c>
      <c r="AF543" s="95" t="e">
        <f t="shared" si="19"/>
        <v>#N/A</v>
      </c>
    </row>
    <row r="544" spans="30:32" x14ac:dyDescent="0.25">
      <c r="AD544" t="e">
        <f>VLOOKUP(B544,COHVPI!A:N,14,0)</f>
        <v>#N/A</v>
      </c>
      <c r="AE544" s="95" t="e">
        <f>VLOOKUP(B544,COHVPI!A:E,5,0)</f>
        <v>#N/A</v>
      </c>
      <c r="AF544" s="95" t="e">
        <f t="shared" si="19"/>
        <v>#N/A</v>
      </c>
    </row>
    <row r="545" spans="30:32" x14ac:dyDescent="0.25">
      <c r="AD545" t="e">
        <f>VLOOKUP(B545,COHVPI!A:N,14,0)</f>
        <v>#N/A</v>
      </c>
      <c r="AE545" s="95" t="e">
        <f>VLOOKUP(B545,COHVPI!A:E,5,0)</f>
        <v>#N/A</v>
      </c>
      <c r="AF545" s="95" t="e">
        <f t="shared" si="19"/>
        <v>#N/A</v>
      </c>
    </row>
    <row r="546" spans="30:32" x14ac:dyDescent="0.25">
      <c r="AD546" t="e">
        <f>VLOOKUP(B546,COHVPI!A:N,14,0)</f>
        <v>#N/A</v>
      </c>
      <c r="AE546" s="95" t="e">
        <f>VLOOKUP(B546,COHVPI!A:E,5,0)</f>
        <v>#N/A</v>
      </c>
      <c r="AF546" s="95" t="e">
        <f t="shared" si="19"/>
        <v>#N/A</v>
      </c>
    </row>
    <row r="547" spans="30:32" x14ac:dyDescent="0.25">
      <c r="AD547" t="e">
        <f>VLOOKUP(B547,COHVPI!A:N,14,0)</f>
        <v>#N/A</v>
      </c>
      <c r="AE547" s="95" t="e">
        <f>VLOOKUP(B547,COHVPI!A:E,5,0)</f>
        <v>#N/A</v>
      </c>
      <c r="AF547" s="95" t="e">
        <f t="shared" si="19"/>
        <v>#N/A</v>
      </c>
    </row>
    <row r="548" spans="30:32" x14ac:dyDescent="0.25">
      <c r="AD548" t="e">
        <f>VLOOKUP(B548,COHVPI!A:N,14,0)</f>
        <v>#N/A</v>
      </c>
      <c r="AE548" s="95" t="e">
        <f>VLOOKUP(B548,COHVPI!A:E,5,0)</f>
        <v>#N/A</v>
      </c>
      <c r="AF548" s="95" t="e">
        <f t="shared" si="19"/>
        <v>#N/A</v>
      </c>
    </row>
    <row r="549" spans="30:32" x14ac:dyDescent="0.25">
      <c r="AD549" t="e">
        <f>VLOOKUP(B549,COHVPI!A:N,14,0)</f>
        <v>#N/A</v>
      </c>
      <c r="AE549" s="95" t="e">
        <f>VLOOKUP(B549,COHVPI!A:E,5,0)</f>
        <v>#N/A</v>
      </c>
      <c r="AF549" s="95" t="e">
        <f t="shared" si="19"/>
        <v>#N/A</v>
      </c>
    </row>
    <row r="550" spans="30:32" x14ac:dyDescent="0.25">
      <c r="AD550" t="e">
        <f>VLOOKUP(B550,COHVPI!A:N,14,0)</f>
        <v>#N/A</v>
      </c>
      <c r="AE550" s="95" t="e">
        <f>VLOOKUP(B550,COHVPI!A:E,5,0)</f>
        <v>#N/A</v>
      </c>
      <c r="AF550" s="95" t="e">
        <f t="shared" si="19"/>
        <v>#N/A</v>
      </c>
    </row>
    <row r="551" spans="30:32" x14ac:dyDescent="0.25">
      <c r="AD551" t="e">
        <f>VLOOKUP(B551,COHVPI!A:N,14,0)</f>
        <v>#N/A</v>
      </c>
      <c r="AE551" s="95" t="e">
        <f>VLOOKUP(B551,COHVPI!A:E,5,0)</f>
        <v>#N/A</v>
      </c>
      <c r="AF551" s="95" t="e">
        <f t="shared" si="19"/>
        <v>#N/A</v>
      </c>
    </row>
    <row r="552" spans="30:32" x14ac:dyDescent="0.25">
      <c r="AD552" t="e">
        <f>VLOOKUP(B552,COHVPI!A:N,14,0)</f>
        <v>#N/A</v>
      </c>
      <c r="AE552" s="95" t="e">
        <f>VLOOKUP(B552,COHVPI!A:E,5,0)</f>
        <v>#N/A</v>
      </c>
      <c r="AF552" s="95" t="e">
        <f t="shared" si="19"/>
        <v>#N/A</v>
      </c>
    </row>
    <row r="553" spans="30:32" x14ac:dyDescent="0.25">
      <c r="AD553" t="e">
        <f>VLOOKUP(B553,COHVPI!A:N,14,0)</f>
        <v>#N/A</v>
      </c>
      <c r="AE553" s="95" t="e">
        <f>VLOOKUP(B553,COHVPI!A:E,5,0)</f>
        <v>#N/A</v>
      </c>
      <c r="AF553" s="95" t="e">
        <f t="shared" si="19"/>
        <v>#N/A</v>
      </c>
    </row>
    <row r="554" spans="30:32" x14ac:dyDescent="0.25">
      <c r="AD554" t="e">
        <f>VLOOKUP(B554,COHVPI!A:N,14,0)</f>
        <v>#N/A</v>
      </c>
      <c r="AE554" s="95" t="e">
        <f>VLOOKUP(B554,COHVPI!A:E,5,0)</f>
        <v>#N/A</v>
      </c>
      <c r="AF554" s="95" t="e">
        <f t="shared" si="19"/>
        <v>#N/A</v>
      </c>
    </row>
    <row r="555" spans="30:32" x14ac:dyDescent="0.25">
      <c r="AD555" t="e">
        <f>VLOOKUP(B555,COHVPI!A:N,14,0)</f>
        <v>#N/A</v>
      </c>
      <c r="AE555" s="95" t="e">
        <f>VLOOKUP(B555,COHVPI!A:E,5,0)</f>
        <v>#N/A</v>
      </c>
      <c r="AF555" s="95" t="e">
        <f t="shared" si="19"/>
        <v>#N/A</v>
      </c>
    </row>
    <row r="556" spans="30:32" x14ac:dyDescent="0.25">
      <c r="AD556" t="e">
        <f>VLOOKUP(B556,COHVPI!A:N,14,0)</f>
        <v>#N/A</v>
      </c>
      <c r="AE556" s="95" t="e">
        <f>VLOOKUP(B556,COHVPI!A:E,5,0)</f>
        <v>#N/A</v>
      </c>
      <c r="AF556" s="95" t="e">
        <f t="shared" si="19"/>
        <v>#N/A</v>
      </c>
    </row>
    <row r="557" spans="30:32" x14ac:dyDescent="0.25">
      <c r="AD557" t="e">
        <f>VLOOKUP(B557,COHVPI!A:N,14,0)</f>
        <v>#N/A</v>
      </c>
      <c r="AE557" s="95" t="e">
        <f>VLOOKUP(B557,COHVPI!A:E,5,0)</f>
        <v>#N/A</v>
      </c>
      <c r="AF557" s="95" t="e">
        <f t="shared" si="19"/>
        <v>#N/A</v>
      </c>
    </row>
    <row r="558" spans="30:32" x14ac:dyDescent="0.25">
      <c r="AD558" t="e">
        <f>VLOOKUP(B558,COHVPI!A:N,14,0)</f>
        <v>#N/A</v>
      </c>
      <c r="AE558" s="95" t="e">
        <f>VLOOKUP(B558,COHVPI!A:E,5,0)</f>
        <v>#N/A</v>
      </c>
      <c r="AF558" s="95" t="e">
        <f t="shared" si="19"/>
        <v>#N/A</v>
      </c>
    </row>
    <row r="559" spans="30:32" x14ac:dyDescent="0.25">
      <c r="AD559" t="e">
        <f>VLOOKUP(B559,COHVPI!A:N,14,0)</f>
        <v>#N/A</v>
      </c>
      <c r="AE559" s="95" t="e">
        <f>VLOOKUP(B559,COHVPI!A:E,5,0)</f>
        <v>#N/A</v>
      </c>
      <c r="AF559" s="95" t="e">
        <f t="shared" si="19"/>
        <v>#N/A</v>
      </c>
    </row>
    <row r="560" spans="30:32" x14ac:dyDescent="0.25">
      <c r="AD560" t="e">
        <f>VLOOKUP(B560,COHVPI!A:N,14,0)</f>
        <v>#N/A</v>
      </c>
      <c r="AE560" s="95" t="e">
        <f>VLOOKUP(B560,COHVPI!A:E,5,0)</f>
        <v>#N/A</v>
      </c>
      <c r="AF560" s="95" t="e">
        <f t="shared" si="19"/>
        <v>#N/A</v>
      </c>
    </row>
    <row r="561" spans="30:32" x14ac:dyDescent="0.25">
      <c r="AD561" t="e">
        <f>VLOOKUP(B561,COHVPI!A:N,14,0)</f>
        <v>#N/A</v>
      </c>
      <c r="AE561" s="95" t="e">
        <f>VLOOKUP(B561,COHVPI!A:E,5,0)</f>
        <v>#N/A</v>
      </c>
      <c r="AF561" s="95" t="e">
        <f t="shared" si="19"/>
        <v>#N/A</v>
      </c>
    </row>
    <row r="562" spans="30:32" x14ac:dyDescent="0.25">
      <c r="AD562" t="e">
        <f>VLOOKUP(B562,COHVPI!A:N,14,0)</f>
        <v>#N/A</v>
      </c>
      <c r="AE562" s="95" t="e">
        <f>VLOOKUP(B562,COHVPI!A:E,5,0)</f>
        <v>#N/A</v>
      </c>
      <c r="AF562" s="95" t="e">
        <f t="shared" si="19"/>
        <v>#N/A</v>
      </c>
    </row>
    <row r="563" spans="30:32" x14ac:dyDescent="0.25">
      <c r="AD563" t="e">
        <f>VLOOKUP(B563,COHVPI!A:N,14,0)</f>
        <v>#N/A</v>
      </c>
      <c r="AE563" s="95" t="e">
        <f>VLOOKUP(B563,COHVPI!A:E,5,0)</f>
        <v>#N/A</v>
      </c>
      <c r="AF563" s="95" t="e">
        <f t="shared" si="19"/>
        <v>#N/A</v>
      </c>
    </row>
    <row r="564" spans="30:32" x14ac:dyDescent="0.25">
      <c r="AD564" t="e">
        <f>VLOOKUP(B564,COHVPI!A:N,14,0)</f>
        <v>#N/A</v>
      </c>
      <c r="AE564" s="95" t="e">
        <f>VLOOKUP(B564,COHVPI!A:E,5,0)</f>
        <v>#N/A</v>
      </c>
      <c r="AF564" s="95" t="e">
        <f t="shared" si="19"/>
        <v>#N/A</v>
      </c>
    </row>
    <row r="565" spans="30:32" x14ac:dyDescent="0.25">
      <c r="AD565" t="e">
        <f>VLOOKUP(B565,COHVPI!A:N,14,0)</f>
        <v>#N/A</v>
      </c>
      <c r="AE565" s="95" t="e">
        <f>VLOOKUP(B565,COHVPI!A:E,5,0)</f>
        <v>#N/A</v>
      </c>
      <c r="AF565" s="95" t="e">
        <f t="shared" si="19"/>
        <v>#N/A</v>
      </c>
    </row>
    <row r="566" spans="30:32" x14ac:dyDescent="0.25">
      <c r="AD566" t="e">
        <f>VLOOKUP(B566,COHVPI!A:N,14,0)</f>
        <v>#N/A</v>
      </c>
      <c r="AE566" s="95" t="e">
        <f>VLOOKUP(B566,COHVPI!A:E,5,0)</f>
        <v>#N/A</v>
      </c>
      <c r="AF566" s="95" t="e">
        <f t="shared" si="19"/>
        <v>#N/A</v>
      </c>
    </row>
    <row r="567" spans="30:32" x14ac:dyDescent="0.25">
      <c r="AD567" t="e">
        <f>VLOOKUP(B567,COHVPI!A:N,14,0)</f>
        <v>#N/A</v>
      </c>
      <c r="AE567" s="95" t="e">
        <f>VLOOKUP(B567,COHVPI!A:E,5,0)</f>
        <v>#N/A</v>
      </c>
      <c r="AF567" s="95" t="e">
        <f t="shared" si="19"/>
        <v>#N/A</v>
      </c>
    </row>
    <row r="568" spans="30:32" x14ac:dyDescent="0.25">
      <c r="AD568" t="e">
        <f>VLOOKUP(B568,COHVPI!A:N,14,0)</f>
        <v>#N/A</v>
      </c>
      <c r="AE568" s="95" t="e">
        <f>VLOOKUP(B568,COHVPI!A:E,5,0)</f>
        <v>#N/A</v>
      </c>
      <c r="AF568" s="95" t="e">
        <f t="shared" si="19"/>
        <v>#N/A</v>
      </c>
    </row>
    <row r="569" spans="30:32" x14ac:dyDescent="0.25">
      <c r="AD569" t="e">
        <f>VLOOKUP(B569,COHVPI!A:N,14,0)</f>
        <v>#N/A</v>
      </c>
      <c r="AE569" s="95" t="e">
        <f>VLOOKUP(B569,COHVPI!A:E,5,0)</f>
        <v>#N/A</v>
      </c>
      <c r="AF569" s="95" t="e">
        <f t="shared" si="19"/>
        <v>#N/A</v>
      </c>
    </row>
    <row r="570" spans="30:32" x14ac:dyDescent="0.25">
      <c r="AD570" t="e">
        <f>VLOOKUP(B570,COHVPI!A:N,14,0)</f>
        <v>#N/A</v>
      </c>
      <c r="AE570" s="95" t="e">
        <f>VLOOKUP(B570,COHVPI!A:E,5,0)</f>
        <v>#N/A</v>
      </c>
      <c r="AF570" s="95" t="e">
        <f t="shared" si="19"/>
        <v>#N/A</v>
      </c>
    </row>
    <row r="571" spans="30:32" x14ac:dyDescent="0.25">
      <c r="AD571" t="e">
        <f>VLOOKUP(B571,COHVPI!A:N,14,0)</f>
        <v>#N/A</v>
      </c>
      <c r="AE571" s="95" t="e">
        <f>VLOOKUP(B571,COHVPI!A:E,5,0)</f>
        <v>#N/A</v>
      </c>
      <c r="AF571" s="95" t="e">
        <f t="shared" si="19"/>
        <v>#N/A</v>
      </c>
    </row>
    <row r="572" spans="30:32" x14ac:dyDescent="0.25">
      <c r="AD572" t="e">
        <f>VLOOKUP(B572,COHVPI!A:N,14,0)</f>
        <v>#N/A</v>
      </c>
      <c r="AE572" s="95" t="e">
        <f>VLOOKUP(B572,COHVPI!A:E,5,0)</f>
        <v>#N/A</v>
      </c>
      <c r="AF572" s="95" t="e">
        <f t="shared" si="19"/>
        <v>#N/A</v>
      </c>
    </row>
    <row r="573" spans="30:32" x14ac:dyDescent="0.25">
      <c r="AD573" t="e">
        <f>VLOOKUP(B573,COHVPI!A:N,14,0)</f>
        <v>#N/A</v>
      </c>
      <c r="AE573" s="95" t="e">
        <f>VLOOKUP(B573,COHVPI!A:E,5,0)</f>
        <v>#N/A</v>
      </c>
      <c r="AF573" s="95" t="e">
        <f t="shared" si="19"/>
        <v>#N/A</v>
      </c>
    </row>
    <row r="574" spans="30:32" x14ac:dyDescent="0.25">
      <c r="AD574" t="e">
        <f>VLOOKUP(B574,COHVPI!A:N,14,0)</f>
        <v>#N/A</v>
      </c>
      <c r="AE574" s="95" t="e">
        <f>VLOOKUP(B574,COHVPI!A:E,5,0)</f>
        <v>#N/A</v>
      </c>
      <c r="AF574" s="95" t="e">
        <f t="shared" si="19"/>
        <v>#N/A</v>
      </c>
    </row>
    <row r="575" spans="30:32" x14ac:dyDescent="0.25">
      <c r="AD575" t="e">
        <f>VLOOKUP(B575,COHVPI!A:N,14,0)</f>
        <v>#N/A</v>
      </c>
      <c r="AE575" s="95" t="e">
        <f>VLOOKUP(B575,COHVPI!A:E,5,0)</f>
        <v>#N/A</v>
      </c>
      <c r="AF575" s="95" t="e">
        <f t="shared" si="19"/>
        <v>#N/A</v>
      </c>
    </row>
    <row r="576" spans="30:32" x14ac:dyDescent="0.25">
      <c r="AD576" t="e">
        <f>VLOOKUP(B576,COHVPI!A:N,14,0)</f>
        <v>#N/A</v>
      </c>
      <c r="AE576" s="95" t="e">
        <f>VLOOKUP(B576,COHVPI!A:E,5,0)</f>
        <v>#N/A</v>
      </c>
      <c r="AF576" s="95" t="e">
        <f t="shared" si="19"/>
        <v>#N/A</v>
      </c>
    </row>
    <row r="577" spans="30:32" x14ac:dyDescent="0.25">
      <c r="AD577" t="e">
        <f>VLOOKUP(B577,COHVPI!A:N,14,0)</f>
        <v>#N/A</v>
      </c>
      <c r="AE577" s="95" t="e">
        <f>VLOOKUP(B577,COHVPI!A:E,5,0)</f>
        <v>#N/A</v>
      </c>
      <c r="AF577" s="95" t="e">
        <f t="shared" si="19"/>
        <v>#N/A</v>
      </c>
    </row>
    <row r="578" spans="30:32" x14ac:dyDescent="0.25">
      <c r="AD578" t="e">
        <f>VLOOKUP(B578,COHVPI!A:N,14,0)</f>
        <v>#N/A</v>
      </c>
      <c r="AE578" s="95" t="e">
        <f>VLOOKUP(B578,COHVPI!A:E,5,0)</f>
        <v>#N/A</v>
      </c>
      <c r="AF578" s="95" t="e">
        <f t="shared" si="19"/>
        <v>#N/A</v>
      </c>
    </row>
    <row r="579" spans="30:32" x14ac:dyDescent="0.25">
      <c r="AD579" t="e">
        <f>VLOOKUP(B579,COHVPI!A:N,14,0)</f>
        <v>#N/A</v>
      </c>
      <c r="AE579" s="95" t="e">
        <f>VLOOKUP(B579,COHVPI!A:E,5,0)</f>
        <v>#N/A</v>
      </c>
      <c r="AF579" s="95" t="e">
        <f t="shared" si="19"/>
        <v>#N/A</v>
      </c>
    </row>
    <row r="580" spans="30:32" x14ac:dyDescent="0.25">
      <c r="AD580" t="e">
        <f>VLOOKUP(B580,COHVPI!A:N,14,0)</f>
        <v>#N/A</v>
      </c>
      <c r="AE580" s="95" t="e">
        <f>VLOOKUP(B580,COHVPI!A:E,5,0)</f>
        <v>#N/A</v>
      </c>
      <c r="AF580" s="95" t="e">
        <f t="shared" si="19"/>
        <v>#N/A</v>
      </c>
    </row>
    <row r="581" spans="30:32" x14ac:dyDescent="0.25">
      <c r="AD581" t="e">
        <f>VLOOKUP(B581,COHVPI!A:N,14,0)</f>
        <v>#N/A</v>
      </c>
      <c r="AE581" s="95" t="e">
        <f>VLOOKUP(B581,COHVPI!A:E,5,0)</f>
        <v>#N/A</v>
      </c>
      <c r="AF581" s="95" t="e">
        <f t="shared" si="19"/>
        <v>#N/A</v>
      </c>
    </row>
    <row r="582" spans="30:32" x14ac:dyDescent="0.25">
      <c r="AD582" t="e">
        <f>VLOOKUP(B582,COHVPI!A:N,14,0)</f>
        <v>#N/A</v>
      </c>
      <c r="AE582" s="95" t="e">
        <f>VLOOKUP(B582,COHVPI!A:E,5,0)</f>
        <v>#N/A</v>
      </c>
      <c r="AF582" s="95" t="e">
        <f t="shared" si="19"/>
        <v>#N/A</v>
      </c>
    </row>
    <row r="583" spans="30:32" x14ac:dyDescent="0.25">
      <c r="AD583" t="e">
        <f>VLOOKUP(B583,COHVPI!A:N,14,0)</f>
        <v>#N/A</v>
      </c>
      <c r="AE583" s="95" t="e">
        <f>VLOOKUP(B583,COHVPI!A:E,5,0)</f>
        <v>#N/A</v>
      </c>
      <c r="AF583" s="95" t="e">
        <f t="shared" si="19"/>
        <v>#N/A</v>
      </c>
    </row>
    <row r="584" spans="30:32" x14ac:dyDescent="0.25">
      <c r="AD584" t="e">
        <f>VLOOKUP(B584,COHVPI!A:N,14,0)</f>
        <v>#N/A</v>
      </c>
      <c r="AE584" s="95" t="e">
        <f>VLOOKUP(B584,COHVPI!A:E,5,0)</f>
        <v>#N/A</v>
      </c>
      <c r="AF584" s="95" t="e">
        <f t="shared" si="19"/>
        <v>#N/A</v>
      </c>
    </row>
    <row r="585" spans="30:32" x14ac:dyDescent="0.25">
      <c r="AD585" t="e">
        <f>VLOOKUP(B585,COHVPI!A:N,14,0)</f>
        <v>#N/A</v>
      </c>
      <c r="AE585" s="95" t="e">
        <f>VLOOKUP(B585,COHVPI!A:E,5,0)</f>
        <v>#N/A</v>
      </c>
      <c r="AF585" s="95" t="e">
        <f t="shared" si="19"/>
        <v>#N/A</v>
      </c>
    </row>
    <row r="586" spans="30:32" x14ac:dyDescent="0.25">
      <c r="AD586" t="e">
        <f>VLOOKUP(B586,COHVPI!A:N,14,0)</f>
        <v>#N/A</v>
      </c>
      <c r="AE586" s="95" t="e">
        <f>VLOOKUP(B586,COHVPI!A:E,5,0)</f>
        <v>#N/A</v>
      </c>
      <c r="AF586" s="95" t="e">
        <f t="shared" si="19"/>
        <v>#N/A</v>
      </c>
    </row>
    <row r="587" spans="30:32" x14ac:dyDescent="0.25">
      <c r="AD587" t="e">
        <f>VLOOKUP(B587,COHVPI!A:N,14,0)</f>
        <v>#N/A</v>
      </c>
      <c r="AE587" s="95" t="e">
        <f>VLOOKUP(B587,COHVPI!A:E,5,0)</f>
        <v>#N/A</v>
      </c>
      <c r="AF587" s="95" t="e">
        <f t="shared" si="19"/>
        <v>#N/A</v>
      </c>
    </row>
    <row r="588" spans="30:32" x14ac:dyDescent="0.25">
      <c r="AD588" t="e">
        <f>VLOOKUP(B588,COHVPI!A:N,14,0)</f>
        <v>#N/A</v>
      </c>
      <c r="AE588" s="95" t="e">
        <f>VLOOKUP(B588,COHVPI!A:E,5,0)</f>
        <v>#N/A</v>
      </c>
      <c r="AF588" s="95" t="e">
        <f t="shared" si="19"/>
        <v>#N/A</v>
      </c>
    </row>
    <row r="589" spans="30:32" x14ac:dyDescent="0.25">
      <c r="AD589" t="e">
        <f>VLOOKUP(B589,COHVPI!A:N,14,0)</f>
        <v>#N/A</v>
      </c>
      <c r="AE589" s="95" t="e">
        <f>VLOOKUP(B589,COHVPI!A:E,5,0)</f>
        <v>#N/A</v>
      </c>
      <c r="AF589" s="95" t="e">
        <f t="shared" si="19"/>
        <v>#N/A</v>
      </c>
    </row>
    <row r="590" spans="30:32" x14ac:dyDescent="0.25">
      <c r="AD590" t="e">
        <f>VLOOKUP(B590,COHVPI!A:N,14,0)</f>
        <v>#N/A</v>
      </c>
      <c r="AE590" s="95" t="e">
        <f>VLOOKUP(B590,COHVPI!A:E,5,0)</f>
        <v>#N/A</v>
      </c>
      <c r="AF590" s="95" t="e">
        <f t="shared" si="19"/>
        <v>#N/A</v>
      </c>
    </row>
    <row r="591" spans="30:32" x14ac:dyDescent="0.25">
      <c r="AD591" t="e">
        <f>VLOOKUP(B591,COHVPI!A:N,14,0)</f>
        <v>#N/A</v>
      </c>
      <c r="AE591" s="95" t="e">
        <f>VLOOKUP(B591,COHVPI!A:E,5,0)</f>
        <v>#N/A</v>
      </c>
      <c r="AF591" s="95" t="e">
        <f t="shared" si="19"/>
        <v>#N/A</v>
      </c>
    </row>
    <row r="592" spans="30:32" x14ac:dyDescent="0.25">
      <c r="AD592" t="e">
        <f>VLOOKUP(B592,COHVPI!A:N,14,0)</f>
        <v>#N/A</v>
      </c>
      <c r="AE592" s="95" t="e">
        <f>VLOOKUP(B592,COHVPI!A:E,5,0)</f>
        <v>#N/A</v>
      </c>
      <c r="AF592" s="95" t="e">
        <f t="shared" si="19"/>
        <v>#N/A</v>
      </c>
    </row>
    <row r="593" spans="30:32" x14ac:dyDescent="0.25">
      <c r="AD593" t="e">
        <f>VLOOKUP(B593,COHVPI!A:N,14,0)</f>
        <v>#N/A</v>
      </c>
      <c r="AE593" s="95" t="e">
        <f>VLOOKUP(B593,COHVPI!A:E,5,0)</f>
        <v>#N/A</v>
      </c>
      <c r="AF593" s="95" t="e">
        <f t="shared" ref="AF593:AF656" si="20">AE593-D593</f>
        <v>#N/A</v>
      </c>
    </row>
    <row r="594" spans="30:32" x14ac:dyDescent="0.25">
      <c r="AD594" t="e">
        <f>VLOOKUP(B594,COHVPI!A:N,14,0)</f>
        <v>#N/A</v>
      </c>
      <c r="AE594" s="95" t="e">
        <f>VLOOKUP(B594,COHVPI!A:E,5,0)</f>
        <v>#N/A</v>
      </c>
      <c r="AF594" s="95" t="e">
        <f t="shared" si="20"/>
        <v>#N/A</v>
      </c>
    </row>
    <row r="595" spans="30:32" x14ac:dyDescent="0.25">
      <c r="AD595" t="e">
        <f>VLOOKUP(B595,COHVPI!A:N,14,0)</f>
        <v>#N/A</v>
      </c>
      <c r="AE595" s="95" t="e">
        <f>VLOOKUP(B595,COHVPI!A:E,5,0)</f>
        <v>#N/A</v>
      </c>
      <c r="AF595" s="95" t="e">
        <f t="shared" si="20"/>
        <v>#N/A</v>
      </c>
    </row>
    <row r="596" spans="30:32" x14ac:dyDescent="0.25">
      <c r="AD596" t="e">
        <f>VLOOKUP(B596,COHVPI!A:N,14,0)</f>
        <v>#N/A</v>
      </c>
      <c r="AE596" s="95" t="e">
        <f>VLOOKUP(B596,COHVPI!A:E,5,0)</f>
        <v>#N/A</v>
      </c>
      <c r="AF596" s="95" t="e">
        <f t="shared" si="20"/>
        <v>#N/A</v>
      </c>
    </row>
    <row r="597" spans="30:32" x14ac:dyDescent="0.25">
      <c r="AD597" t="e">
        <f>VLOOKUP(B597,COHVPI!A:N,14,0)</f>
        <v>#N/A</v>
      </c>
      <c r="AE597" s="95" t="e">
        <f>VLOOKUP(B597,COHVPI!A:E,5,0)</f>
        <v>#N/A</v>
      </c>
      <c r="AF597" s="95" t="e">
        <f t="shared" si="20"/>
        <v>#N/A</v>
      </c>
    </row>
    <row r="598" spans="30:32" x14ac:dyDescent="0.25">
      <c r="AD598" t="e">
        <f>VLOOKUP(B598,COHVPI!A:N,14,0)</f>
        <v>#N/A</v>
      </c>
      <c r="AE598" s="95" t="e">
        <f>VLOOKUP(B598,COHVPI!A:E,5,0)</f>
        <v>#N/A</v>
      </c>
      <c r="AF598" s="95" t="e">
        <f t="shared" si="20"/>
        <v>#N/A</v>
      </c>
    </row>
    <row r="599" spans="30:32" x14ac:dyDescent="0.25">
      <c r="AD599" t="e">
        <f>VLOOKUP(B599,COHVPI!A:N,14,0)</f>
        <v>#N/A</v>
      </c>
      <c r="AE599" s="95" t="e">
        <f>VLOOKUP(B599,COHVPI!A:E,5,0)</f>
        <v>#N/A</v>
      </c>
      <c r="AF599" s="95" t="e">
        <f t="shared" si="20"/>
        <v>#N/A</v>
      </c>
    </row>
    <row r="600" spans="30:32" x14ac:dyDescent="0.25">
      <c r="AD600" t="e">
        <f>VLOOKUP(B600,COHVPI!A:N,14,0)</f>
        <v>#N/A</v>
      </c>
      <c r="AE600" s="95" t="e">
        <f>VLOOKUP(B600,COHVPI!A:E,5,0)</f>
        <v>#N/A</v>
      </c>
      <c r="AF600" s="95" t="e">
        <f t="shared" si="20"/>
        <v>#N/A</v>
      </c>
    </row>
    <row r="601" spans="30:32" x14ac:dyDescent="0.25">
      <c r="AD601" t="e">
        <f>VLOOKUP(B601,COHVPI!A:N,14,0)</f>
        <v>#N/A</v>
      </c>
      <c r="AE601" s="95" t="e">
        <f>VLOOKUP(B601,COHVPI!A:E,5,0)</f>
        <v>#N/A</v>
      </c>
      <c r="AF601" s="95" t="e">
        <f t="shared" si="20"/>
        <v>#N/A</v>
      </c>
    </row>
    <row r="602" spans="30:32" x14ac:dyDescent="0.25">
      <c r="AD602" t="e">
        <f>VLOOKUP(B602,COHVPI!A:N,14,0)</f>
        <v>#N/A</v>
      </c>
      <c r="AE602" s="95" t="e">
        <f>VLOOKUP(B602,COHVPI!A:E,5,0)</f>
        <v>#N/A</v>
      </c>
      <c r="AF602" s="95" t="e">
        <f t="shared" si="20"/>
        <v>#N/A</v>
      </c>
    </row>
    <row r="603" spans="30:32" x14ac:dyDescent="0.25">
      <c r="AD603" t="e">
        <f>VLOOKUP(B603,COHVPI!A:N,14,0)</f>
        <v>#N/A</v>
      </c>
      <c r="AE603" s="95" t="e">
        <f>VLOOKUP(B603,COHVPI!A:E,5,0)</f>
        <v>#N/A</v>
      </c>
      <c r="AF603" s="95" t="e">
        <f t="shared" si="20"/>
        <v>#N/A</v>
      </c>
    </row>
    <row r="604" spans="30:32" x14ac:dyDescent="0.25">
      <c r="AD604" t="e">
        <f>VLOOKUP(B604,COHVPI!A:N,14,0)</f>
        <v>#N/A</v>
      </c>
      <c r="AE604" s="95" t="e">
        <f>VLOOKUP(B604,COHVPI!A:E,5,0)</f>
        <v>#N/A</v>
      </c>
      <c r="AF604" s="95" t="e">
        <f t="shared" si="20"/>
        <v>#N/A</v>
      </c>
    </row>
    <row r="605" spans="30:32" x14ac:dyDescent="0.25">
      <c r="AD605" t="e">
        <f>VLOOKUP(B605,COHVPI!A:N,14,0)</f>
        <v>#N/A</v>
      </c>
      <c r="AE605" s="95" t="e">
        <f>VLOOKUP(B605,COHVPI!A:E,5,0)</f>
        <v>#N/A</v>
      </c>
      <c r="AF605" s="95" t="e">
        <f t="shared" si="20"/>
        <v>#N/A</v>
      </c>
    </row>
    <row r="606" spans="30:32" x14ac:dyDescent="0.25">
      <c r="AD606" t="e">
        <f>VLOOKUP(B606,COHVPI!A:N,14,0)</f>
        <v>#N/A</v>
      </c>
      <c r="AE606" s="95" t="e">
        <f>VLOOKUP(B606,COHVPI!A:E,5,0)</f>
        <v>#N/A</v>
      </c>
      <c r="AF606" s="95" t="e">
        <f t="shared" si="20"/>
        <v>#N/A</v>
      </c>
    </row>
    <row r="607" spans="30:32" x14ac:dyDescent="0.25">
      <c r="AD607" t="e">
        <f>VLOOKUP(B607,COHVPI!A:N,14,0)</f>
        <v>#N/A</v>
      </c>
      <c r="AE607" s="95" t="e">
        <f>VLOOKUP(B607,COHVPI!A:E,5,0)</f>
        <v>#N/A</v>
      </c>
      <c r="AF607" s="95" t="e">
        <f t="shared" si="20"/>
        <v>#N/A</v>
      </c>
    </row>
    <row r="608" spans="30:32" x14ac:dyDescent="0.25">
      <c r="AD608" t="e">
        <f>VLOOKUP(B608,COHVPI!A:N,14,0)</f>
        <v>#N/A</v>
      </c>
      <c r="AE608" s="95" t="e">
        <f>VLOOKUP(B608,COHVPI!A:E,5,0)</f>
        <v>#N/A</v>
      </c>
      <c r="AF608" s="95" t="e">
        <f t="shared" si="20"/>
        <v>#N/A</v>
      </c>
    </row>
    <row r="609" spans="30:32" x14ac:dyDescent="0.25">
      <c r="AD609" t="e">
        <f>VLOOKUP(B609,COHVPI!A:N,14,0)</f>
        <v>#N/A</v>
      </c>
      <c r="AE609" s="95" t="e">
        <f>VLOOKUP(B609,COHVPI!A:E,5,0)</f>
        <v>#N/A</v>
      </c>
      <c r="AF609" s="95" t="e">
        <f t="shared" si="20"/>
        <v>#N/A</v>
      </c>
    </row>
    <row r="610" spans="30:32" x14ac:dyDescent="0.25">
      <c r="AD610" t="e">
        <f>VLOOKUP(B610,COHVPI!A:N,14,0)</f>
        <v>#N/A</v>
      </c>
      <c r="AE610" s="95" t="e">
        <f>VLOOKUP(B610,COHVPI!A:E,5,0)</f>
        <v>#N/A</v>
      </c>
      <c r="AF610" s="95" t="e">
        <f t="shared" si="20"/>
        <v>#N/A</v>
      </c>
    </row>
    <row r="611" spans="30:32" x14ac:dyDescent="0.25">
      <c r="AD611" t="e">
        <f>VLOOKUP(B611,COHVPI!A:N,14,0)</f>
        <v>#N/A</v>
      </c>
      <c r="AE611" s="95" t="e">
        <f>VLOOKUP(B611,COHVPI!A:E,5,0)</f>
        <v>#N/A</v>
      </c>
      <c r="AF611" s="95" t="e">
        <f t="shared" si="20"/>
        <v>#N/A</v>
      </c>
    </row>
    <row r="612" spans="30:32" x14ac:dyDescent="0.25">
      <c r="AD612" t="e">
        <f>VLOOKUP(B612,COHVPI!A:N,14,0)</f>
        <v>#N/A</v>
      </c>
      <c r="AE612" s="95" t="e">
        <f>VLOOKUP(B612,COHVPI!A:E,5,0)</f>
        <v>#N/A</v>
      </c>
      <c r="AF612" s="95" t="e">
        <f t="shared" si="20"/>
        <v>#N/A</v>
      </c>
    </row>
    <row r="613" spans="30:32" x14ac:dyDescent="0.25">
      <c r="AD613" t="e">
        <f>VLOOKUP(B613,COHVPI!A:N,14,0)</f>
        <v>#N/A</v>
      </c>
      <c r="AE613" s="95" t="e">
        <f>VLOOKUP(B613,COHVPI!A:E,5,0)</f>
        <v>#N/A</v>
      </c>
      <c r="AF613" s="95" t="e">
        <f t="shared" si="20"/>
        <v>#N/A</v>
      </c>
    </row>
    <row r="614" spans="30:32" x14ac:dyDescent="0.25">
      <c r="AD614" t="e">
        <f>VLOOKUP(B614,COHVPI!A:N,14,0)</f>
        <v>#N/A</v>
      </c>
      <c r="AE614" s="95" t="e">
        <f>VLOOKUP(B614,COHVPI!A:E,5,0)</f>
        <v>#N/A</v>
      </c>
      <c r="AF614" s="95" t="e">
        <f t="shared" si="20"/>
        <v>#N/A</v>
      </c>
    </row>
    <row r="615" spans="30:32" x14ac:dyDescent="0.25">
      <c r="AD615" t="e">
        <f>VLOOKUP(B615,COHVPI!A:N,14,0)</f>
        <v>#N/A</v>
      </c>
      <c r="AE615" s="95" t="e">
        <f>VLOOKUP(B615,COHVPI!A:E,5,0)</f>
        <v>#N/A</v>
      </c>
      <c r="AF615" s="95" t="e">
        <f t="shared" si="20"/>
        <v>#N/A</v>
      </c>
    </row>
    <row r="616" spans="30:32" x14ac:dyDescent="0.25">
      <c r="AD616" t="e">
        <f>VLOOKUP(B616,COHVPI!A:N,14,0)</f>
        <v>#N/A</v>
      </c>
      <c r="AE616" s="95" t="e">
        <f>VLOOKUP(B616,COHVPI!A:E,5,0)</f>
        <v>#N/A</v>
      </c>
      <c r="AF616" s="95" t="e">
        <f t="shared" si="20"/>
        <v>#N/A</v>
      </c>
    </row>
    <row r="617" spans="30:32" x14ac:dyDescent="0.25">
      <c r="AD617" t="e">
        <f>VLOOKUP(B617,COHVPI!A:N,14,0)</f>
        <v>#N/A</v>
      </c>
      <c r="AE617" s="95" t="e">
        <f>VLOOKUP(B617,COHVPI!A:E,5,0)</f>
        <v>#N/A</v>
      </c>
      <c r="AF617" s="95" t="e">
        <f t="shared" si="20"/>
        <v>#N/A</v>
      </c>
    </row>
    <row r="618" spans="30:32" x14ac:dyDescent="0.25">
      <c r="AD618" t="e">
        <f>VLOOKUP(B618,COHVPI!A:N,14,0)</f>
        <v>#N/A</v>
      </c>
      <c r="AE618" s="95" t="e">
        <f>VLOOKUP(B618,COHVPI!A:E,5,0)</f>
        <v>#N/A</v>
      </c>
      <c r="AF618" s="95" t="e">
        <f t="shared" si="20"/>
        <v>#N/A</v>
      </c>
    </row>
    <row r="619" spans="30:32" x14ac:dyDescent="0.25">
      <c r="AD619" t="e">
        <f>VLOOKUP(B619,COHVPI!A:N,14,0)</f>
        <v>#N/A</v>
      </c>
      <c r="AE619" s="95" t="e">
        <f>VLOOKUP(B619,COHVPI!A:E,5,0)</f>
        <v>#N/A</v>
      </c>
      <c r="AF619" s="95" t="e">
        <f t="shared" si="20"/>
        <v>#N/A</v>
      </c>
    </row>
    <row r="620" spans="30:32" x14ac:dyDescent="0.25">
      <c r="AD620" t="e">
        <f>VLOOKUP(B620,COHVPI!A:N,14,0)</f>
        <v>#N/A</v>
      </c>
      <c r="AE620" s="95" t="e">
        <f>VLOOKUP(B620,COHVPI!A:E,5,0)</f>
        <v>#N/A</v>
      </c>
      <c r="AF620" s="95" t="e">
        <f t="shared" si="20"/>
        <v>#N/A</v>
      </c>
    </row>
    <row r="621" spans="30:32" x14ac:dyDescent="0.25">
      <c r="AD621" t="e">
        <f>VLOOKUP(B621,COHVPI!A:N,14,0)</f>
        <v>#N/A</v>
      </c>
      <c r="AE621" s="95" t="e">
        <f>VLOOKUP(B621,COHVPI!A:E,5,0)</f>
        <v>#N/A</v>
      </c>
      <c r="AF621" s="95" t="e">
        <f t="shared" si="20"/>
        <v>#N/A</v>
      </c>
    </row>
    <row r="622" spans="30:32" x14ac:dyDescent="0.25">
      <c r="AD622" t="e">
        <f>VLOOKUP(B622,COHVPI!A:N,14,0)</f>
        <v>#N/A</v>
      </c>
      <c r="AE622" s="95" t="e">
        <f>VLOOKUP(B622,COHVPI!A:E,5,0)</f>
        <v>#N/A</v>
      </c>
      <c r="AF622" s="95" t="e">
        <f t="shared" si="20"/>
        <v>#N/A</v>
      </c>
    </row>
    <row r="623" spans="30:32" x14ac:dyDescent="0.25">
      <c r="AD623" t="e">
        <f>VLOOKUP(B623,COHVPI!A:N,14,0)</f>
        <v>#N/A</v>
      </c>
      <c r="AE623" s="95" t="e">
        <f>VLOOKUP(B623,COHVPI!A:E,5,0)</f>
        <v>#N/A</v>
      </c>
      <c r="AF623" s="95" t="e">
        <f t="shared" si="20"/>
        <v>#N/A</v>
      </c>
    </row>
    <row r="624" spans="30:32" x14ac:dyDescent="0.25">
      <c r="AD624" t="e">
        <f>VLOOKUP(B624,COHVPI!A:N,14,0)</f>
        <v>#N/A</v>
      </c>
      <c r="AE624" s="95" t="e">
        <f>VLOOKUP(B624,COHVPI!A:E,5,0)</f>
        <v>#N/A</v>
      </c>
      <c r="AF624" s="95" t="e">
        <f t="shared" si="20"/>
        <v>#N/A</v>
      </c>
    </row>
    <row r="625" spans="30:32" x14ac:dyDescent="0.25">
      <c r="AD625" t="e">
        <f>VLOOKUP(B625,COHVPI!A:N,14,0)</f>
        <v>#N/A</v>
      </c>
      <c r="AE625" s="95" t="e">
        <f>VLOOKUP(B625,COHVPI!A:E,5,0)</f>
        <v>#N/A</v>
      </c>
      <c r="AF625" s="95" t="e">
        <f t="shared" si="20"/>
        <v>#N/A</v>
      </c>
    </row>
    <row r="626" spans="30:32" x14ac:dyDescent="0.25">
      <c r="AD626" t="e">
        <f>VLOOKUP(B626,COHVPI!A:N,14,0)</f>
        <v>#N/A</v>
      </c>
      <c r="AE626" s="95" t="e">
        <f>VLOOKUP(B626,COHVPI!A:E,5,0)</f>
        <v>#N/A</v>
      </c>
      <c r="AF626" s="95" t="e">
        <f t="shared" si="20"/>
        <v>#N/A</v>
      </c>
    </row>
    <row r="627" spans="30:32" x14ac:dyDescent="0.25">
      <c r="AD627" t="e">
        <f>VLOOKUP(B627,COHVPI!A:N,14,0)</f>
        <v>#N/A</v>
      </c>
      <c r="AE627" s="95" t="e">
        <f>VLOOKUP(B627,COHVPI!A:E,5,0)</f>
        <v>#N/A</v>
      </c>
      <c r="AF627" s="95" t="e">
        <f t="shared" si="20"/>
        <v>#N/A</v>
      </c>
    </row>
    <row r="628" spans="30:32" x14ac:dyDescent="0.25">
      <c r="AD628" t="e">
        <f>VLOOKUP(B628,COHVPI!A:N,14,0)</f>
        <v>#N/A</v>
      </c>
      <c r="AE628" s="95" t="e">
        <f>VLOOKUP(B628,COHVPI!A:E,5,0)</f>
        <v>#N/A</v>
      </c>
      <c r="AF628" s="95" t="e">
        <f t="shared" si="20"/>
        <v>#N/A</v>
      </c>
    </row>
    <row r="629" spans="30:32" x14ac:dyDescent="0.25">
      <c r="AD629" t="e">
        <f>VLOOKUP(B629,COHVPI!A:N,14,0)</f>
        <v>#N/A</v>
      </c>
      <c r="AE629" s="95" t="e">
        <f>VLOOKUP(B629,COHVPI!A:E,5,0)</f>
        <v>#N/A</v>
      </c>
      <c r="AF629" s="95" t="e">
        <f t="shared" si="20"/>
        <v>#N/A</v>
      </c>
    </row>
    <row r="630" spans="30:32" x14ac:dyDescent="0.25">
      <c r="AD630" t="e">
        <f>VLOOKUP(B630,COHVPI!A:N,14,0)</f>
        <v>#N/A</v>
      </c>
      <c r="AE630" s="95" t="e">
        <f>VLOOKUP(B630,COHVPI!A:E,5,0)</f>
        <v>#N/A</v>
      </c>
      <c r="AF630" s="95" t="e">
        <f t="shared" si="20"/>
        <v>#N/A</v>
      </c>
    </row>
    <row r="631" spans="30:32" x14ac:dyDescent="0.25">
      <c r="AD631" t="e">
        <f>VLOOKUP(B631,COHVPI!A:N,14,0)</f>
        <v>#N/A</v>
      </c>
      <c r="AE631" s="95" t="e">
        <f>VLOOKUP(B631,COHVPI!A:E,5,0)</f>
        <v>#N/A</v>
      </c>
      <c r="AF631" s="95" t="e">
        <f t="shared" si="20"/>
        <v>#N/A</v>
      </c>
    </row>
    <row r="632" spans="30:32" x14ac:dyDescent="0.25">
      <c r="AD632" t="e">
        <f>VLOOKUP(B632,COHVPI!A:N,14,0)</f>
        <v>#N/A</v>
      </c>
      <c r="AE632" s="95" t="e">
        <f>VLOOKUP(B632,COHVPI!A:E,5,0)</f>
        <v>#N/A</v>
      </c>
      <c r="AF632" s="95" t="e">
        <f t="shared" si="20"/>
        <v>#N/A</v>
      </c>
    </row>
    <row r="633" spans="30:32" x14ac:dyDescent="0.25">
      <c r="AD633" t="e">
        <f>VLOOKUP(B633,COHVPI!A:N,14,0)</f>
        <v>#N/A</v>
      </c>
      <c r="AE633" s="95" t="e">
        <f>VLOOKUP(B633,COHVPI!A:E,5,0)</f>
        <v>#N/A</v>
      </c>
      <c r="AF633" s="95" t="e">
        <f t="shared" si="20"/>
        <v>#N/A</v>
      </c>
    </row>
    <row r="634" spans="30:32" x14ac:dyDescent="0.25">
      <c r="AD634" t="e">
        <f>VLOOKUP(B634,COHVPI!A:N,14,0)</f>
        <v>#N/A</v>
      </c>
      <c r="AE634" s="95" t="e">
        <f>VLOOKUP(B634,COHVPI!A:E,5,0)</f>
        <v>#N/A</v>
      </c>
      <c r="AF634" s="95" t="e">
        <f t="shared" si="20"/>
        <v>#N/A</v>
      </c>
    </row>
    <row r="635" spans="30:32" x14ac:dyDescent="0.25">
      <c r="AD635" t="e">
        <f>VLOOKUP(B635,COHVPI!A:N,14,0)</f>
        <v>#N/A</v>
      </c>
      <c r="AE635" s="95" t="e">
        <f>VLOOKUP(B635,COHVPI!A:E,5,0)</f>
        <v>#N/A</v>
      </c>
      <c r="AF635" s="95" t="e">
        <f t="shared" si="20"/>
        <v>#N/A</v>
      </c>
    </row>
    <row r="636" spans="30:32" x14ac:dyDescent="0.25">
      <c r="AD636" t="e">
        <f>VLOOKUP(B636,COHVPI!A:N,14,0)</f>
        <v>#N/A</v>
      </c>
      <c r="AE636" s="95" t="e">
        <f>VLOOKUP(B636,COHVPI!A:E,5,0)</f>
        <v>#N/A</v>
      </c>
      <c r="AF636" s="95" t="e">
        <f t="shared" si="20"/>
        <v>#N/A</v>
      </c>
    </row>
    <row r="637" spans="30:32" x14ac:dyDescent="0.25">
      <c r="AD637" t="e">
        <f>VLOOKUP(B637,COHVPI!A:N,14,0)</f>
        <v>#N/A</v>
      </c>
      <c r="AE637" s="95" t="e">
        <f>VLOOKUP(B637,COHVPI!A:E,5,0)</f>
        <v>#N/A</v>
      </c>
      <c r="AF637" s="95" t="e">
        <f t="shared" si="20"/>
        <v>#N/A</v>
      </c>
    </row>
    <row r="638" spans="30:32" x14ac:dyDescent="0.25">
      <c r="AD638" t="e">
        <f>VLOOKUP(B638,COHVPI!A:N,14,0)</f>
        <v>#N/A</v>
      </c>
      <c r="AE638" s="95" t="e">
        <f>VLOOKUP(B638,COHVPI!A:E,5,0)</f>
        <v>#N/A</v>
      </c>
      <c r="AF638" s="95" t="e">
        <f t="shared" si="20"/>
        <v>#N/A</v>
      </c>
    </row>
    <row r="639" spans="30:32" x14ac:dyDescent="0.25">
      <c r="AD639" t="e">
        <f>VLOOKUP(B639,COHVPI!A:N,14,0)</f>
        <v>#N/A</v>
      </c>
      <c r="AE639" s="95" t="e">
        <f>VLOOKUP(B639,COHVPI!A:E,5,0)</f>
        <v>#N/A</v>
      </c>
      <c r="AF639" s="95" t="e">
        <f t="shared" si="20"/>
        <v>#N/A</v>
      </c>
    </row>
    <row r="640" spans="30:32" x14ac:dyDescent="0.25">
      <c r="AD640" t="e">
        <f>VLOOKUP(B640,COHVPI!A:N,14,0)</f>
        <v>#N/A</v>
      </c>
      <c r="AE640" s="95" t="e">
        <f>VLOOKUP(B640,COHVPI!A:E,5,0)</f>
        <v>#N/A</v>
      </c>
      <c r="AF640" s="95" t="e">
        <f t="shared" si="20"/>
        <v>#N/A</v>
      </c>
    </row>
    <row r="641" spans="30:32" x14ac:dyDescent="0.25">
      <c r="AD641" t="e">
        <f>VLOOKUP(B641,COHVPI!A:N,14,0)</f>
        <v>#N/A</v>
      </c>
      <c r="AE641" s="95" t="e">
        <f>VLOOKUP(B641,COHVPI!A:E,5,0)</f>
        <v>#N/A</v>
      </c>
      <c r="AF641" s="95" t="e">
        <f t="shared" si="20"/>
        <v>#N/A</v>
      </c>
    </row>
    <row r="642" spans="30:32" x14ac:dyDescent="0.25">
      <c r="AD642" t="e">
        <f>VLOOKUP(B642,COHVPI!A:N,14,0)</f>
        <v>#N/A</v>
      </c>
      <c r="AE642" s="95" t="e">
        <f>VLOOKUP(B642,COHVPI!A:E,5,0)</f>
        <v>#N/A</v>
      </c>
      <c r="AF642" s="95" t="e">
        <f t="shared" si="20"/>
        <v>#N/A</v>
      </c>
    </row>
    <row r="643" spans="30:32" x14ac:dyDescent="0.25">
      <c r="AD643" t="e">
        <f>VLOOKUP(B643,COHVPI!A:N,14,0)</f>
        <v>#N/A</v>
      </c>
      <c r="AE643" s="95" t="e">
        <f>VLOOKUP(B643,COHVPI!A:E,5,0)</f>
        <v>#N/A</v>
      </c>
      <c r="AF643" s="95" t="e">
        <f t="shared" si="20"/>
        <v>#N/A</v>
      </c>
    </row>
    <row r="644" spans="30:32" x14ac:dyDescent="0.25">
      <c r="AD644" t="e">
        <f>VLOOKUP(B644,COHVPI!A:N,14,0)</f>
        <v>#N/A</v>
      </c>
      <c r="AE644" s="95" t="e">
        <f>VLOOKUP(B644,COHVPI!A:E,5,0)</f>
        <v>#N/A</v>
      </c>
      <c r="AF644" s="95" t="e">
        <f t="shared" si="20"/>
        <v>#N/A</v>
      </c>
    </row>
    <row r="645" spans="30:32" x14ac:dyDescent="0.25">
      <c r="AD645" t="e">
        <f>VLOOKUP(B645,COHVPI!A:N,14,0)</f>
        <v>#N/A</v>
      </c>
      <c r="AE645" s="95" t="e">
        <f>VLOOKUP(B645,COHVPI!A:E,5,0)</f>
        <v>#N/A</v>
      </c>
      <c r="AF645" s="95" t="e">
        <f t="shared" si="20"/>
        <v>#N/A</v>
      </c>
    </row>
    <row r="646" spans="30:32" x14ac:dyDescent="0.25">
      <c r="AD646" t="e">
        <f>VLOOKUP(B646,COHVPI!A:N,14,0)</f>
        <v>#N/A</v>
      </c>
      <c r="AE646" s="95" t="e">
        <f>VLOOKUP(B646,COHVPI!A:E,5,0)</f>
        <v>#N/A</v>
      </c>
      <c r="AF646" s="95" t="e">
        <f t="shared" si="20"/>
        <v>#N/A</v>
      </c>
    </row>
    <row r="647" spans="30:32" x14ac:dyDescent="0.25">
      <c r="AD647" t="e">
        <f>VLOOKUP(B647,COHVPI!A:N,14,0)</f>
        <v>#N/A</v>
      </c>
      <c r="AE647" s="95" t="e">
        <f>VLOOKUP(B647,COHVPI!A:E,5,0)</f>
        <v>#N/A</v>
      </c>
      <c r="AF647" s="95" t="e">
        <f t="shared" si="20"/>
        <v>#N/A</v>
      </c>
    </row>
    <row r="648" spans="30:32" x14ac:dyDescent="0.25">
      <c r="AD648" t="e">
        <f>VLOOKUP(B648,COHVPI!A:N,14,0)</f>
        <v>#N/A</v>
      </c>
      <c r="AE648" s="95" t="e">
        <f>VLOOKUP(B648,COHVPI!A:E,5,0)</f>
        <v>#N/A</v>
      </c>
      <c r="AF648" s="95" t="e">
        <f t="shared" si="20"/>
        <v>#N/A</v>
      </c>
    </row>
    <row r="649" spans="30:32" x14ac:dyDescent="0.25">
      <c r="AD649" t="e">
        <f>VLOOKUP(B649,COHVPI!A:N,14,0)</f>
        <v>#N/A</v>
      </c>
      <c r="AE649" s="95" t="e">
        <f>VLOOKUP(B649,COHVPI!A:E,5,0)</f>
        <v>#N/A</v>
      </c>
      <c r="AF649" s="95" t="e">
        <f t="shared" si="20"/>
        <v>#N/A</v>
      </c>
    </row>
    <row r="650" spans="30:32" x14ac:dyDescent="0.25">
      <c r="AD650" t="e">
        <f>VLOOKUP(B650,COHVPI!A:N,14,0)</f>
        <v>#N/A</v>
      </c>
      <c r="AE650" s="95" t="e">
        <f>VLOOKUP(B650,COHVPI!A:E,5,0)</f>
        <v>#N/A</v>
      </c>
      <c r="AF650" s="95" t="e">
        <f t="shared" si="20"/>
        <v>#N/A</v>
      </c>
    </row>
    <row r="651" spans="30:32" x14ac:dyDescent="0.25">
      <c r="AD651" t="e">
        <f>VLOOKUP(B651,COHVPI!A:N,14,0)</f>
        <v>#N/A</v>
      </c>
      <c r="AE651" s="95" t="e">
        <f>VLOOKUP(B651,COHVPI!A:E,5,0)</f>
        <v>#N/A</v>
      </c>
      <c r="AF651" s="95" t="e">
        <f t="shared" si="20"/>
        <v>#N/A</v>
      </c>
    </row>
    <row r="652" spans="30:32" x14ac:dyDescent="0.25">
      <c r="AD652" t="e">
        <f>VLOOKUP(B652,COHVPI!A:N,14,0)</f>
        <v>#N/A</v>
      </c>
      <c r="AE652" s="95" t="e">
        <f>VLOOKUP(B652,COHVPI!A:E,5,0)</f>
        <v>#N/A</v>
      </c>
      <c r="AF652" s="95" t="e">
        <f t="shared" si="20"/>
        <v>#N/A</v>
      </c>
    </row>
    <row r="653" spans="30:32" x14ac:dyDescent="0.25">
      <c r="AD653" t="e">
        <f>VLOOKUP(B653,COHVPI!A:N,14,0)</f>
        <v>#N/A</v>
      </c>
      <c r="AE653" s="95" t="e">
        <f>VLOOKUP(B653,COHVPI!A:E,5,0)</f>
        <v>#N/A</v>
      </c>
      <c r="AF653" s="95" t="e">
        <f t="shared" si="20"/>
        <v>#N/A</v>
      </c>
    </row>
    <row r="654" spans="30:32" x14ac:dyDescent="0.25">
      <c r="AD654" t="e">
        <f>VLOOKUP(B654,COHVPI!A:N,14,0)</f>
        <v>#N/A</v>
      </c>
      <c r="AE654" s="95" t="e">
        <f>VLOOKUP(B654,COHVPI!A:E,5,0)</f>
        <v>#N/A</v>
      </c>
      <c r="AF654" s="95" t="e">
        <f t="shared" si="20"/>
        <v>#N/A</v>
      </c>
    </row>
    <row r="655" spans="30:32" x14ac:dyDescent="0.25">
      <c r="AD655" t="e">
        <f>VLOOKUP(B655,COHVPI!A:N,14,0)</f>
        <v>#N/A</v>
      </c>
      <c r="AE655" s="95" t="e">
        <f>VLOOKUP(B655,COHVPI!A:E,5,0)</f>
        <v>#N/A</v>
      </c>
      <c r="AF655" s="95" t="e">
        <f t="shared" si="20"/>
        <v>#N/A</v>
      </c>
    </row>
    <row r="656" spans="30:32" x14ac:dyDescent="0.25">
      <c r="AD656" t="e">
        <f>VLOOKUP(B656,COHVPI!A:N,14,0)</f>
        <v>#N/A</v>
      </c>
      <c r="AE656" s="95" t="e">
        <f>VLOOKUP(B656,COHVPI!A:E,5,0)</f>
        <v>#N/A</v>
      </c>
      <c r="AF656" s="95" t="e">
        <f t="shared" si="20"/>
        <v>#N/A</v>
      </c>
    </row>
    <row r="657" spans="30:32" x14ac:dyDescent="0.25">
      <c r="AD657" t="e">
        <f>VLOOKUP(B657,COHVPI!A:N,14,0)</f>
        <v>#N/A</v>
      </c>
      <c r="AE657" s="95" t="e">
        <f>VLOOKUP(B657,COHVPI!A:E,5,0)</f>
        <v>#N/A</v>
      </c>
      <c r="AF657" s="95" t="e">
        <f t="shared" ref="AF657:AF720" si="21">AE657-D657</f>
        <v>#N/A</v>
      </c>
    </row>
    <row r="658" spans="30:32" x14ac:dyDescent="0.25">
      <c r="AD658" t="e">
        <f>VLOOKUP(B658,COHVPI!A:N,14,0)</f>
        <v>#N/A</v>
      </c>
      <c r="AE658" s="95" t="e">
        <f>VLOOKUP(B658,COHVPI!A:E,5,0)</f>
        <v>#N/A</v>
      </c>
      <c r="AF658" s="95" t="e">
        <f t="shared" si="21"/>
        <v>#N/A</v>
      </c>
    </row>
    <row r="659" spans="30:32" x14ac:dyDescent="0.25">
      <c r="AD659" t="e">
        <f>VLOOKUP(B659,COHVPI!A:N,14,0)</f>
        <v>#N/A</v>
      </c>
      <c r="AE659" s="95" t="e">
        <f>VLOOKUP(B659,COHVPI!A:E,5,0)</f>
        <v>#N/A</v>
      </c>
      <c r="AF659" s="95" t="e">
        <f t="shared" si="21"/>
        <v>#N/A</v>
      </c>
    </row>
    <row r="660" spans="30:32" x14ac:dyDescent="0.25">
      <c r="AD660" t="e">
        <f>VLOOKUP(B660,COHVPI!A:N,14,0)</f>
        <v>#N/A</v>
      </c>
      <c r="AE660" s="95" t="e">
        <f>VLOOKUP(B660,COHVPI!A:E,5,0)</f>
        <v>#N/A</v>
      </c>
      <c r="AF660" s="95" t="e">
        <f t="shared" si="21"/>
        <v>#N/A</v>
      </c>
    </row>
    <row r="661" spans="30:32" x14ac:dyDescent="0.25">
      <c r="AD661" t="e">
        <f>VLOOKUP(B661,COHVPI!A:N,14,0)</f>
        <v>#N/A</v>
      </c>
      <c r="AE661" s="95" t="e">
        <f>VLOOKUP(B661,COHVPI!A:E,5,0)</f>
        <v>#N/A</v>
      </c>
      <c r="AF661" s="95" t="e">
        <f t="shared" si="21"/>
        <v>#N/A</v>
      </c>
    </row>
    <row r="662" spans="30:32" x14ac:dyDescent="0.25">
      <c r="AD662" t="e">
        <f>VLOOKUP(B662,COHVPI!A:N,14,0)</f>
        <v>#N/A</v>
      </c>
      <c r="AE662" s="95" t="e">
        <f>VLOOKUP(B662,COHVPI!A:E,5,0)</f>
        <v>#N/A</v>
      </c>
      <c r="AF662" s="95" t="e">
        <f t="shared" si="21"/>
        <v>#N/A</v>
      </c>
    </row>
    <row r="663" spans="30:32" x14ac:dyDescent="0.25">
      <c r="AD663" t="e">
        <f>VLOOKUP(B663,COHVPI!A:N,14,0)</f>
        <v>#N/A</v>
      </c>
      <c r="AE663" s="95" t="e">
        <f>VLOOKUP(B663,COHVPI!A:E,5,0)</f>
        <v>#N/A</v>
      </c>
      <c r="AF663" s="95" t="e">
        <f t="shared" si="21"/>
        <v>#N/A</v>
      </c>
    </row>
    <row r="664" spans="30:32" x14ac:dyDescent="0.25">
      <c r="AD664" t="e">
        <f>VLOOKUP(B664,COHVPI!A:N,14,0)</f>
        <v>#N/A</v>
      </c>
      <c r="AE664" s="95" t="e">
        <f>VLOOKUP(B664,COHVPI!A:E,5,0)</f>
        <v>#N/A</v>
      </c>
      <c r="AF664" s="95" t="e">
        <f t="shared" si="21"/>
        <v>#N/A</v>
      </c>
    </row>
    <row r="665" spans="30:32" x14ac:dyDescent="0.25">
      <c r="AD665" t="e">
        <f>VLOOKUP(B665,COHVPI!A:N,14,0)</f>
        <v>#N/A</v>
      </c>
      <c r="AE665" s="95" t="e">
        <f>VLOOKUP(B665,COHVPI!A:E,5,0)</f>
        <v>#N/A</v>
      </c>
      <c r="AF665" s="95" t="e">
        <f t="shared" si="21"/>
        <v>#N/A</v>
      </c>
    </row>
    <row r="666" spans="30:32" x14ac:dyDescent="0.25">
      <c r="AD666" t="e">
        <f>VLOOKUP(B666,COHVPI!A:N,14,0)</f>
        <v>#N/A</v>
      </c>
      <c r="AE666" s="95" t="e">
        <f>VLOOKUP(B666,COHVPI!A:E,5,0)</f>
        <v>#N/A</v>
      </c>
      <c r="AF666" s="95" t="e">
        <f t="shared" si="21"/>
        <v>#N/A</v>
      </c>
    </row>
    <row r="667" spans="30:32" x14ac:dyDescent="0.25">
      <c r="AD667" t="e">
        <f>VLOOKUP(B667,COHVPI!A:N,14,0)</f>
        <v>#N/A</v>
      </c>
      <c r="AE667" s="95" t="e">
        <f>VLOOKUP(B667,COHVPI!A:E,5,0)</f>
        <v>#N/A</v>
      </c>
      <c r="AF667" s="95" t="e">
        <f t="shared" si="21"/>
        <v>#N/A</v>
      </c>
    </row>
    <row r="668" spans="30:32" x14ac:dyDescent="0.25">
      <c r="AD668" t="e">
        <f>VLOOKUP(B668,COHVPI!A:N,14,0)</f>
        <v>#N/A</v>
      </c>
      <c r="AE668" s="95" t="e">
        <f>VLOOKUP(B668,COHVPI!A:E,5,0)</f>
        <v>#N/A</v>
      </c>
      <c r="AF668" s="95" t="e">
        <f t="shared" si="21"/>
        <v>#N/A</v>
      </c>
    </row>
    <row r="669" spans="30:32" x14ac:dyDescent="0.25">
      <c r="AD669" t="e">
        <f>VLOOKUP(B669,COHVPI!A:N,14,0)</f>
        <v>#N/A</v>
      </c>
      <c r="AE669" s="95" t="e">
        <f>VLOOKUP(B669,COHVPI!A:E,5,0)</f>
        <v>#N/A</v>
      </c>
      <c r="AF669" s="95" t="e">
        <f t="shared" si="21"/>
        <v>#N/A</v>
      </c>
    </row>
    <row r="670" spans="30:32" x14ac:dyDescent="0.25">
      <c r="AD670" t="e">
        <f>VLOOKUP(B670,COHVPI!A:N,14,0)</f>
        <v>#N/A</v>
      </c>
      <c r="AE670" s="95" t="e">
        <f>VLOOKUP(B670,COHVPI!A:E,5,0)</f>
        <v>#N/A</v>
      </c>
      <c r="AF670" s="95" t="e">
        <f t="shared" si="21"/>
        <v>#N/A</v>
      </c>
    </row>
    <row r="671" spans="30:32" x14ac:dyDescent="0.25">
      <c r="AD671" t="e">
        <f>VLOOKUP(B671,COHVPI!A:N,14,0)</f>
        <v>#N/A</v>
      </c>
      <c r="AE671" s="95" t="e">
        <f>VLOOKUP(B671,COHVPI!A:E,5,0)</f>
        <v>#N/A</v>
      </c>
      <c r="AF671" s="95" t="e">
        <f t="shared" si="21"/>
        <v>#N/A</v>
      </c>
    </row>
    <row r="672" spans="30:32" x14ac:dyDescent="0.25">
      <c r="AD672" t="e">
        <f>VLOOKUP(B672,COHVPI!A:N,14,0)</f>
        <v>#N/A</v>
      </c>
      <c r="AE672" s="95" t="e">
        <f>VLOOKUP(B672,COHVPI!A:E,5,0)</f>
        <v>#N/A</v>
      </c>
      <c r="AF672" s="95" t="e">
        <f t="shared" si="21"/>
        <v>#N/A</v>
      </c>
    </row>
    <row r="673" spans="30:32" x14ac:dyDescent="0.25">
      <c r="AD673" t="e">
        <f>VLOOKUP(B673,COHVPI!A:N,14,0)</f>
        <v>#N/A</v>
      </c>
      <c r="AE673" s="95" t="e">
        <f>VLOOKUP(B673,COHVPI!A:E,5,0)</f>
        <v>#N/A</v>
      </c>
      <c r="AF673" s="95" t="e">
        <f t="shared" si="21"/>
        <v>#N/A</v>
      </c>
    </row>
    <row r="674" spans="30:32" x14ac:dyDescent="0.25">
      <c r="AD674" t="e">
        <f>VLOOKUP(B674,COHVPI!A:N,14,0)</f>
        <v>#N/A</v>
      </c>
      <c r="AE674" s="95" t="e">
        <f>VLOOKUP(B674,COHVPI!A:E,5,0)</f>
        <v>#N/A</v>
      </c>
      <c r="AF674" s="95" t="e">
        <f t="shared" si="21"/>
        <v>#N/A</v>
      </c>
    </row>
    <row r="675" spans="30:32" x14ac:dyDescent="0.25">
      <c r="AD675" t="e">
        <f>VLOOKUP(B675,COHVPI!A:N,14,0)</f>
        <v>#N/A</v>
      </c>
      <c r="AE675" s="95" t="e">
        <f>VLOOKUP(B675,COHVPI!A:E,5,0)</f>
        <v>#N/A</v>
      </c>
      <c r="AF675" s="95" t="e">
        <f t="shared" si="21"/>
        <v>#N/A</v>
      </c>
    </row>
    <row r="676" spans="30:32" x14ac:dyDescent="0.25">
      <c r="AD676" t="e">
        <f>VLOOKUP(B676,COHVPI!A:N,14,0)</f>
        <v>#N/A</v>
      </c>
      <c r="AE676" s="95" t="e">
        <f>VLOOKUP(B676,COHVPI!A:E,5,0)</f>
        <v>#N/A</v>
      </c>
      <c r="AF676" s="95" t="e">
        <f t="shared" si="21"/>
        <v>#N/A</v>
      </c>
    </row>
    <row r="677" spans="30:32" x14ac:dyDescent="0.25">
      <c r="AD677" t="e">
        <f>VLOOKUP(B677,COHVPI!A:N,14,0)</f>
        <v>#N/A</v>
      </c>
      <c r="AE677" s="95" t="e">
        <f>VLOOKUP(B677,COHVPI!A:E,5,0)</f>
        <v>#N/A</v>
      </c>
      <c r="AF677" s="95" t="e">
        <f t="shared" si="21"/>
        <v>#N/A</v>
      </c>
    </row>
    <row r="678" spans="30:32" x14ac:dyDescent="0.25">
      <c r="AD678" t="e">
        <f>VLOOKUP(B678,COHVPI!A:N,14,0)</f>
        <v>#N/A</v>
      </c>
      <c r="AE678" s="95" t="e">
        <f>VLOOKUP(B678,COHVPI!A:E,5,0)</f>
        <v>#N/A</v>
      </c>
      <c r="AF678" s="95" t="e">
        <f t="shared" si="21"/>
        <v>#N/A</v>
      </c>
    </row>
    <row r="679" spans="30:32" x14ac:dyDescent="0.25">
      <c r="AD679" t="e">
        <f>VLOOKUP(B679,COHVPI!A:N,14,0)</f>
        <v>#N/A</v>
      </c>
      <c r="AE679" s="95" t="e">
        <f>VLOOKUP(B679,COHVPI!A:E,5,0)</f>
        <v>#N/A</v>
      </c>
      <c r="AF679" s="95" t="e">
        <f t="shared" si="21"/>
        <v>#N/A</v>
      </c>
    </row>
    <row r="680" spans="30:32" x14ac:dyDescent="0.25">
      <c r="AD680" t="e">
        <f>VLOOKUP(B680,COHVPI!A:N,14,0)</f>
        <v>#N/A</v>
      </c>
      <c r="AE680" s="95" t="e">
        <f>VLOOKUP(B680,COHVPI!A:E,5,0)</f>
        <v>#N/A</v>
      </c>
      <c r="AF680" s="95" t="e">
        <f t="shared" si="21"/>
        <v>#N/A</v>
      </c>
    </row>
    <row r="681" spans="30:32" x14ac:dyDescent="0.25">
      <c r="AD681" t="e">
        <f>VLOOKUP(B681,COHVPI!A:N,14,0)</f>
        <v>#N/A</v>
      </c>
      <c r="AE681" s="95" t="e">
        <f>VLOOKUP(B681,COHVPI!A:E,5,0)</f>
        <v>#N/A</v>
      </c>
      <c r="AF681" s="95" t="e">
        <f t="shared" si="21"/>
        <v>#N/A</v>
      </c>
    </row>
    <row r="682" spans="30:32" x14ac:dyDescent="0.25">
      <c r="AD682" t="e">
        <f>VLOOKUP(B682,COHVPI!A:N,14,0)</f>
        <v>#N/A</v>
      </c>
      <c r="AE682" s="95" t="e">
        <f>VLOOKUP(B682,COHVPI!A:E,5,0)</f>
        <v>#N/A</v>
      </c>
      <c r="AF682" s="95" t="e">
        <f t="shared" si="21"/>
        <v>#N/A</v>
      </c>
    </row>
    <row r="683" spans="30:32" x14ac:dyDescent="0.25">
      <c r="AD683" t="e">
        <f>VLOOKUP(B683,COHVPI!A:N,14,0)</f>
        <v>#N/A</v>
      </c>
      <c r="AE683" s="95" t="e">
        <f>VLOOKUP(B683,COHVPI!A:E,5,0)</f>
        <v>#N/A</v>
      </c>
      <c r="AF683" s="95" t="e">
        <f t="shared" si="21"/>
        <v>#N/A</v>
      </c>
    </row>
    <row r="684" spans="30:32" x14ac:dyDescent="0.25">
      <c r="AD684" t="e">
        <f>VLOOKUP(B684,COHVPI!A:N,14,0)</f>
        <v>#N/A</v>
      </c>
      <c r="AE684" s="95" t="e">
        <f>VLOOKUP(B684,COHVPI!A:E,5,0)</f>
        <v>#N/A</v>
      </c>
      <c r="AF684" s="95" t="e">
        <f t="shared" si="21"/>
        <v>#N/A</v>
      </c>
    </row>
    <row r="685" spans="30:32" x14ac:dyDescent="0.25">
      <c r="AD685" t="e">
        <f>VLOOKUP(B685,COHVPI!A:N,14,0)</f>
        <v>#N/A</v>
      </c>
      <c r="AE685" s="95" t="e">
        <f>VLOOKUP(B685,COHVPI!A:E,5,0)</f>
        <v>#N/A</v>
      </c>
      <c r="AF685" s="95" t="e">
        <f t="shared" si="21"/>
        <v>#N/A</v>
      </c>
    </row>
    <row r="686" spans="30:32" x14ac:dyDescent="0.25">
      <c r="AD686" t="e">
        <f>VLOOKUP(B686,COHVPI!A:N,14,0)</f>
        <v>#N/A</v>
      </c>
      <c r="AE686" s="95" t="e">
        <f>VLOOKUP(B686,COHVPI!A:E,5,0)</f>
        <v>#N/A</v>
      </c>
      <c r="AF686" s="95" t="e">
        <f t="shared" si="21"/>
        <v>#N/A</v>
      </c>
    </row>
    <row r="687" spans="30:32" x14ac:dyDescent="0.25">
      <c r="AD687" t="e">
        <f>VLOOKUP(B687,COHVPI!A:N,14,0)</f>
        <v>#N/A</v>
      </c>
      <c r="AE687" s="95" t="e">
        <f>VLOOKUP(B687,COHVPI!A:E,5,0)</f>
        <v>#N/A</v>
      </c>
      <c r="AF687" s="95" t="e">
        <f t="shared" si="21"/>
        <v>#N/A</v>
      </c>
    </row>
    <row r="688" spans="30:32" x14ac:dyDescent="0.25">
      <c r="AD688" t="e">
        <f>VLOOKUP(B688,COHVPI!A:N,14,0)</f>
        <v>#N/A</v>
      </c>
      <c r="AE688" s="95" t="e">
        <f>VLOOKUP(B688,COHVPI!A:E,5,0)</f>
        <v>#N/A</v>
      </c>
      <c r="AF688" s="95" t="e">
        <f t="shared" si="21"/>
        <v>#N/A</v>
      </c>
    </row>
    <row r="689" spans="30:32" x14ac:dyDescent="0.25">
      <c r="AD689" t="e">
        <f>VLOOKUP(B689,COHVPI!A:N,14,0)</f>
        <v>#N/A</v>
      </c>
      <c r="AE689" s="95" t="e">
        <f>VLOOKUP(B689,COHVPI!A:E,5,0)</f>
        <v>#N/A</v>
      </c>
      <c r="AF689" s="95" t="e">
        <f t="shared" si="21"/>
        <v>#N/A</v>
      </c>
    </row>
    <row r="690" spans="30:32" x14ac:dyDescent="0.25">
      <c r="AD690" t="e">
        <f>VLOOKUP(B690,COHVPI!A:N,14,0)</f>
        <v>#N/A</v>
      </c>
      <c r="AE690" s="95" t="e">
        <f>VLOOKUP(B690,COHVPI!A:E,5,0)</f>
        <v>#N/A</v>
      </c>
      <c r="AF690" s="95" t="e">
        <f t="shared" si="21"/>
        <v>#N/A</v>
      </c>
    </row>
    <row r="691" spans="30:32" x14ac:dyDescent="0.25">
      <c r="AD691" t="e">
        <f>VLOOKUP(B691,COHVPI!A:N,14,0)</f>
        <v>#N/A</v>
      </c>
      <c r="AE691" s="95" t="e">
        <f>VLOOKUP(B691,COHVPI!A:E,5,0)</f>
        <v>#N/A</v>
      </c>
      <c r="AF691" s="95" t="e">
        <f t="shared" si="21"/>
        <v>#N/A</v>
      </c>
    </row>
    <row r="692" spans="30:32" x14ac:dyDescent="0.25">
      <c r="AD692" t="e">
        <f>VLOOKUP(B692,COHVPI!A:N,14,0)</f>
        <v>#N/A</v>
      </c>
      <c r="AE692" s="95" t="e">
        <f>VLOOKUP(B692,COHVPI!A:E,5,0)</f>
        <v>#N/A</v>
      </c>
      <c r="AF692" s="95" t="e">
        <f t="shared" si="21"/>
        <v>#N/A</v>
      </c>
    </row>
    <row r="693" spans="30:32" x14ac:dyDescent="0.25">
      <c r="AD693" t="e">
        <f>VLOOKUP(B693,COHVPI!A:N,14,0)</f>
        <v>#N/A</v>
      </c>
      <c r="AE693" s="95" t="e">
        <f>VLOOKUP(B693,COHVPI!A:E,5,0)</f>
        <v>#N/A</v>
      </c>
      <c r="AF693" s="95" t="e">
        <f t="shared" si="21"/>
        <v>#N/A</v>
      </c>
    </row>
    <row r="694" spans="30:32" x14ac:dyDescent="0.25">
      <c r="AD694" t="e">
        <f>VLOOKUP(B694,COHVPI!A:N,14,0)</f>
        <v>#N/A</v>
      </c>
      <c r="AE694" s="95" t="e">
        <f>VLOOKUP(B694,COHVPI!A:E,5,0)</f>
        <v>#N/A</v>
      </c>
      <c r="AF694" s="95" t="e">
        <f t="shared" si="21"/>
        <v>#N/A</v>
      </c>
    </row>
    <row r="695" spans="30:32" x14ac:dyDescent="0.25">
      <c r="AD695" t="e">
        <f>VLOOKUP(B695,COHVPI!A:N,14,0)</f>
        <v>#N/A</v>
      </c>
      <c r="AE695" s="95" t="e">
        <f>VLOOKUP(B695,COHVPI!A:E,5,0)</f>
        <v>#N/A</v>
      </c>
      <c r="AF695" s="95" t="e">
        <f t="shared" si="21"/>
        <v>#N/A</v>
      </c>
    </row>
    <row r="696" spans="30:32" x14ac:dyDescent="0.25">
      <c r="AD696" t="e">
        <f>VLOOKUP(B696,COHVPI!A:N,14,0)</f>
        <v>#N/A</v>
      </c>
      <c r="AE696" s="95" t="e">
        <f>VLOOKUP(B696,COHVPI!A:E,5,0)</f>
        <v>#N/A</v>
      </c>
      <c r="AF696" s="95" t="e">
        <f t="shared" si="21"/>
        <v>#N/A</v>
      </c>
    </row>
    <row r="697" spans="30:32" x14ac:dyDescent="0.25">
      <c r="AD697" t="e">
        <f>VLOOKUP(B697,COHVPI!A:N,14,0)</f>
        <v>#N/A</v>
      </c>
      <c r="AE697" s="95" t="e">
        <f>VLOOKUP(B697,COHVPI!A:E,5,0)</f>
        <v>#N/A</v>
      </c>
      <c r="AF697" s="95" t="e">
        <f t="shared" si="21"/>
        <v>#N/A</v>
      </c>
    </row>
    <row r="698" spans="30:32" x14ac:dyDescent="0.25">
      <c r="AD698" t="e">
        <f>VLOOKUP(B698,COHVPI!A:N,14,0)</f>
        <v>#N/A</v>
      </c>
      <c r="AE698" s="95" t="e">
        <f>VLOOKUP(B698,COHVPI!A:E,5,0)</f>
        <v>#N/A</v>
      </c>
      <c r="AF698" s="95" t="e">
        <f t="shared" si="21"/>
        <v>#N/A</v>
      </c>
    </row>
    <row r="699" spans="30:32" x14ac:dyDescent="0.25">
      <c r="AD699" t="e">
        <f>VLOOKUP(B699,COHVPI!A:N,14,0)</f>
        <v>#N/A</v>
      </c>
      <c r="AE699" s="95" t="e">
        <f>VLOOKUP(B699,COHVPI!A:E,5,0)</f>
        <v>#N/A</v>
      </c>
      <c r="AF699" s="95" t="e">
        <f t="shared" si="21"/>
        <v>#N/A</v>
      </c>
    </row>
    <row r="700" spans="30:32" x14ac:dyDescent="0.25">
      <c r="AD700" t="e">
        <f>VLOOKUP(B700,COHVPI!A:N,14,0)</f>
        <v>#N/A</v>
      </c>
      <c r="AE700" s="95" t="e">
        <f>VLOOKUP(B700,COHVPI!A:E,5,0)</f>
        <v>#N/A</v>
      </c>
      <c r="AF700" s="95" t="e">
        <f t="shared" si="21"/>
        <v>#N/A</v>
      </c>
    </row>
    <row r="701" spans="30:32" x14ac:dyDescent="0.25">
      <c r="AD701" t="e">
        <f>VLOOKUP(B701,COHVPI!A:N,14,0)</f>
        <v>#N/A</v>
      </c>
      <c r="AE701" s="95" t="e">
        <f>VLOOKUP(B701,COHVPI!A:E,5,0)</f>
        <v>#N/A</v>
      </c>
      <c r="AF701" s="95" t="e">
        <f t="shared" si="21"/>
        <v>#N/A</v>
      </c>
    </row>
    <row r="702" spans="30:32" x14ac:dyDescent="0.25">
      <c r="AD702" t="e">
        <f>VLOOKUP(B702,COHVPI!A:N,14,0)</f>
        <v>#N/A</v>
      </c>
      <c r="AE702" s="95" t="e">
        <f>VLOOKUP(B702,COHVPI!A:E,5,0)</f>
        <v>#N/A</v>
      </c>
      <c r="AF702" s="95" t="e">
        <f t="shared" si="21"/>
        <v>#N/A</v>
      </c>
    </row>
    <row r="703" spans="30:32" x14ac:dyDescent="0.25">
      <c r="AD703" t="e">
        <f>VLOOKUP(B703,COHVPI!A:N,14,0)</f>
        <v>#N/A</v>
      </c>
      <c r="AE703" s="95" t="e">
        <f>VLOOKUP(B703,COHVPI!A:E,5,0)</f>
        <v>#N/A</v>
      </c>
      <c r="AF703" s="95" t="e">
        <f t="shared" si="21"/>
        <v>#N/A</v>
      </c>
    </row>
    <row r="704" spans="30:32" x14ac:dyDescent="0.25">
      <c r="AD704" t="e">
        <f>VLOOKUP(B704,COHVPI!A:N,14,0)</f>
        <v>#N/A</v>
      </c>
      <c r="AE704" s="95" t="e">
        <f>VLOOKUP(B704,COHVPI!A:E,5,0)</f>
        <v>#N/A</v>
      </c>
      <c r="AF704" s="95" t="e">
        <f t="shared" si="21"/>
        <v>#N/A</v>
      </c>
    </row>
    <row r="705" spans="30:32" x14ac:dyDescent="0.25">
      <c r="AD705" t="e">
        <f>VLOOKUP(B705,COHVPI!A:N,14,0)</f>
        <v>#N/A</v>
      </c>
      <c r="AE705" s="95" t="e">
        <f>VLOOKUP(B705,COHVPI!A:E,5,0)</f>
        <v>#N/A</v>
      </c>
      <c r="AF705" s="95" t="e">
        <f t="shared" si="21"/>
        <v>#N/A</v>
      </c>
    </row>
    <row r="706" spans="30:32" x14ac:dyDescent="0.25">
      <c r="AD706" t="e">
        <f>VLOOKUP(B706,COHVPI!A:N,14,0)</f>
        <v>#N/A</v>
      </c>
      <c r="AE706" s="95" t="e">
        <f>VLOOKUP(B706,COHVPI!A:E,5,0)</f>
        <v>#N/A</v>
      </c>
      <c r="AF706" s="95" t="e">
        <f t="shared" si="21"/>
        <v>#N/A</v>
      </c>
    </row>
    <row r="707" spans="30:32" x14ac:dyDescent="0.25">
      <c r="AD707" t="e">
        <f>VLOOKUP(B707,COHVPI!A:N,14,0)</f>
        <v>#N/A</v>
      </c>
      <c r="AE707" s="95" t="e">
        <f>VLOOKUP(B707,COHVPI!A:E,5,0)</f>
        <v>#N/A</v>
      </c>
      <c r="AF707" s="95" t="e">
        <f t="shared" si="21"/>
        <v>#N/A</v>
      </c>
    </row>
    <row r="708" spans="30:32" x14ac:dyDescent="0.25">
      <c r="AD708" t="e">
        <f>VLOOKUP(B708,COHVPI!A:N,14,0)</f>
        <v>#N/A</v>
      </c>
      <c r="AE708" s="95" t="e">
        <f>VLOOKUP(B708,COHVPI!A:E,5,0)</f>
        <v>#N/A</v>
      </c>
      <c r="AF708" s="95" t="e">
        <f t="shared" si="21"/>
        <v>#N/A</v>
      </c>
    </row>
    <row r="709" spans="30:32" x14ac:dyDescent="0.25">
      <c r="AD709" t="e">
        <f>VLOOKUP(B709,COHVPI!A:N,14,0)</f>
        <v>#N/A</v>
      </c>
      <c r="AE709" s="95" t="e">
        <f>VLOOKUP(B709,COHVPI!A:E,5,0)</f>
        <v>#N/A</v>
      </c>
      <c r="AF709" s="95" t="e">
        <f t="shared" si="21"/>
        <v>#N/A</v>
      </c>
    </row>
    <row r="710" spans="30:32" x14ac:dyDescent="0.25">
      <c r="AD710" t="e">
        <f>VLOOKUP(B710,COHVPI!A:N,14,0)</f>
        <v>#N/A</v>
      </c>
      <c r="AE710" s="95" t="e">
        <f>VLOOKUP(B710,COHVPI!A:E,5,0)</f>
        <v>#N/A</v>
      </c>
      <c r="AF710" s="95" t="e">
        <f t="shared" si="21"/>
        <v>#N/A</v>
      </c>
    </row>
    <row r="711" spans="30:32" x14ac:dyDescent="0.25">
      <c r="AD711" t="e">
        <f>VLOOKUP(B711,COHVPI!A:N,14,0)</f>
        <v>#N/A</v>
      </c>
      <c r="AE711" s="95" t="e">
        <f>VLOOKUP(B711,COHVPI!A:E,5,0)</f>
        <v>#N/A</v>
      </c>
      <c r="AF711" s="95" t="e">
        <f t="shared" si="21"/>
        <v>#N/A</v>
      </c>
    </row>
    <row r="712" spans="30:32" x14ac:dyDescent="0.25">
      <c r="AD712" t="e">
        <f>VLOOKUP(B712,COHVPI!A:N,14,0)</f>
        <v>#N/A</v>
      </c>
      <c r="AE712" s="95" t="e">
        <f>VLOOKUP(B712,COHVPI!A:E,5,0)</f>
        <v>#N/A</v>
      </c>
      <c r="AF712" s="95" t="e">
        <f t="shared" si="21"/>
        <v>#N/A</v>
      </c>
    </row>
    <row r="713" spans="30:32" x14ac:dyDescent="0.25">
      <c r="AD713" t="e">
        <f>VLOOKUP(B713,COHVPI!A:N,14,0)</f>
        <v>#N/A</v>
      </c>
      <c r="AE713" s="95" t="e">
        <f>VLOOKUP(B713,COHVPI!A:E,5,0)</f>
        <v>#N/A</v>
      </c>
      <c r="AF713" s="95" t="e">
        <f t="shared" si="21"/>
        <v>#N/A</v>
      </c>
    </row>
    <row r="714" spans="30:32" x14ac:dyDescent="0.25">
      <c r="AD714" t="e">
        <f>VLOOKUP(B714,COHVPI!A:N,14,0)</f>
        <v>#N/A</v>
      </c>
      <c r="AE714" s="95" t="e">
        <f>VLOOKUP(B714,COHVPI!A:E,5,0)</f>
        <v>#N/A</v>
      </c>
      <c r="AF714" s="95" t="e">
        <f t="shared" si="21"/>
        <v>#N/A</v>
      </c>
    </row>
    <row r="715" spans="30:32" x14ac:dyDescent="0.25">
      <c r="AD715" t="e">
        <f>VLOOKUP(B715,COHVPI!A:N,14,0)</f>
        <v>#N/A</v>
      </c>
      <c r="AE715" s="95" t="e">
        <f>VLOOKUP(B715,COHVPI!A:E,5,0)</f>
        <v>#N/A</v>
      </c>
      <c r="AF715" s="95" t="e">
        <f t="shared" si="21"/>
        <v>#N/A</v>
      </c>
    </row>
    <row r="716" spans="30:32" x14ac:dyDescent="0.25">
      <c r="AD716" t="e">
        <f>VLOOKUP(B716,COHVPI!A:N,14,0)</f>
        <v>#N/A</v>
      </c>
      <c r="AE716" s="95" t="e">
        <f>VLOOKUP(B716,COHVPI!A:E,5,0)</f>
        <v>#N/A</v>
      </c>
      <c r="AF716" s="95" t="e">
        <f t="shared" si="21"/>
        <v>#N/A</v>
      </c>
    </row>
    <row r="717" spans="30:32" x14ac:dyDescent="0.25">
      <c r="AD717" t="e">
        <f>VLOOKUP(B717,COHVPI!A:N,14,0)</f>
        <v>#N/A</v>
      </c>
      <c r="AE717" s="95" t="e">
        <f>VLOOKUP(B717,COHVPI!A:E,5,0)</f>
        <v>#N/A</v>
      </c>
      <c r="AF717" s="95" t="e">
        <f t="shared" si="21"/>
        <v>#N/A</v>
      </c>
    </row>
    <row r="718" spans="30:32" x14ac:dyDescent="0.25">
      <c r="AD718" t="e">
        <f>VLOOKUP(B718,COHVPI!A:N,14,0)</f>
        <v>#N/A</v>
      </c>
      <c r="AE718" s="95" t="e">
        <f>VLOOKUP(B718,COHVPI!A:E,5,0)</f>
        <v>#N/A</v>
      </c>
      <c r="AF718" s="95" t="e">
        <f t="shared" si="21"/>
        <v>#N/A</v>
      </c>
    </row>
    <row r="719" spans="30:32" x14ac:dyDescent="0.25">
      <c r="AD719" t="e">
        <f>VLOOKUP(B719,COHVPI!A:N,14,0)</f>
        <v>#N/A</v>
      </c>
      <c r="AE719" s="95" t="e">
        <f>VLOOKUP(B719,COHVPI!A:E,5,0)</f>
        <v>#N/A</v>
      </c>
      <c r="AF719" s="95" t="e">
        <f t="shared" si="21"/>
        <v>#N/A</v>
      </c>
    </row>
    <row r="720" spans="30:32" x14ac:dyDescent="0.25">
      <c r="AD720" t="e">
        <f>VLOOKUP(B720,COHVPI!A:N,14,0)</f>
        <v>#N/A</v>
      </c>
      <c r="AE720" s="95" t="e">
        <f>VLOOKUP(B720,COHVPI!A:E,5,0)</f>
        <v>#N/A</v>
      </c>
      <c r="AF720" s="95" t="e">
        <f t="shared" si="21"/>
        <v>#N/A</v>
      </c>
    </row>
    <row r="721" spans="30:32" x14ac:dyDescent="0.25">
      <c r="AD721" t="e">
        <f>VLOOKUP(B721,COHVPI!A:N,14,0)</f>
        <v>#N/A</v>
      </c>
      <c r="AE721" s="95" t="e">
        <f>VLOOKUP(B721,COHVPI!A:E,5,0)</f>
        <v>#N/A</v>
      </c>
      <c r="AF721" s="95" t="e">
        <f t="shared" ref="AF721:AF784" si="22">AE721-D721</f>
        <v>#N/A</v>
      </c>
    </row>
    <row r="722" spans="30:32" x14ac:dyDescent="0.25">
      <c r="AD722" t="e">
        <f>VLOOKUP(B722,COHVPI!A:N,14,0)</f>
        <v>#N/A</v>
      </c>
      <c r="AE722" s="95" t="e">
        <f>VLOOKUP(B722,COHVPI!A:E,5,0)</f>
        <v>#N/A</v>
      </c>
      <c r="AF722" s="95" t="e">
        <f t="shared" si="22"/>
        <v>#N/A</v>
      </c>
    </row>
    <row r="723" spans="30:32" x14ac:dyDescent="0.25">
      <c r="AD723" t="e">
        <f>VLOOKUP(B723,COHVPI!A:N,14,0)</f>
        <v>#N/A</v>
      </c>
      <c r="AE723" s="95" t="e">
        <f>VLOOKUP(B723,COHVPI!A:E,5,0)</f>
        <v>#N/A</v>
      </c>
      <c r="AF723" s="95" t="e">
        <f t="shared" si="22"/>
        <v>#N/A</v>
      </c>
    </row>
    <row r="724" spans="30:32" x14ac:dyDescent="0.25">
      <c r="AD724" t="e">
        <f>VLOOKUP(B724,COHVPI!A:N,14,0)</f>
        <v>#N/A</v>
      </c>
      <c r="AE724" s="95" t="e">
        <f>VLOOKUP(B724,COHVPI!A:E,5,0)</f>
        <v>#N/A</v>
      </c>
      <c r="AF724" s="95" t="e">
        <f t="shared" si="22"/>
        <v>#N/A</v>
      </c>
    </row>
    <row r="725" spans="30:32" x14ac:dyDescent="0.25">
      <c r="AD725" t="e">
        <f>VLOOKUP(B725,COHVPI!A:N,14,0)</f>
        <v>#N/A</v>
      </c>
      <c r="AE725" s="95" t="e">
        <f>VLOOKUP(B725,COHVPI!A:E,5,0)</f>
        <v>#N/A</v>
      </c>
      <c r="AF725" s="95" t="e">
        <f t="shared" si="22"/>
        <v>#N/A</v>
      </c>
    </row>
    <row r="726" spans="30:32" x14ac:dyDescent="0.25">
      <c r="AD726" t="e">
        <f>VLOOKUP(B726,COHVPI!A:N,14,0)</f>
        <v>#N/A</v>
      </c>
      <c r="AE726" s="95" t="e">
        <f>VLOOKUP(B726,COHVPI!A:E,5,0)</f>
        <v>#N/A</v>
      </c>
      <c r="AF726" s="95" t="e">
        <f t="shared" si="22"/>
        <v>#N/A</v>
      </c>
    </row>
    <row r="727" spans="30:32" x14ac:dyDescent="0.25">
      <c r="AD727" t="e">
        <f>VLOOKUP(B727,COHVPI!A:N,14,0)</f>
        <v>#N/A</v>
      </c>
      <c r="AE727" s="95" t="e">
        <f>VLOOKUP(B727,COHVPI!A:E,5,0)</f>
        <v>#N/A</v>
      </c>
      <c r="AF727" s="95" t="e">
        <f t="shared" si="22"/>
        <v>#N/A</v>
      </c>
    </row>
    <row r="728" spans="30:32" x14ac:dyDescent="0.25">
      <c r="AD728" t="e">
        <f>VLOOKUP(B728,COHVPI!A:N,14,0)</f>
        <v>#N/A</v>
      </c>
      <c r="AE728" s="95" t="e">
        <f>VLOOKUP(B728,COHVPI!A:E,5,0)</f>
        <v>#N/A</v>
      </c>
      <c r="AF728" s="95" t="e">
        <f t="shared" si="22"/>
        <v>#N/A</v>
      </c>
    </row>
    <row r="729" spans="30:32" x14ac:dyDescent="0.25">
      <c r="AD729" t="e">
        <f>VLOOKUP(B729,COHVPI!A:N,14,0)</f>
        <v>#N/A</v>
      </c>
      <c r="AE729" s="95" t="e">
        <f>VLOOKUP(B729,COHVPI!A:E,5,0)</f>
        <v>#N/A</v>
      </c>
      <c r="AF729" s="95" t="e">
        <f t="shared" si="22"/>
        <v>#N/A</v>
      </c>
    </row>
    <row r="730" spans="30:32" x14ac:dyDescent="0.25">
      <c r="AD730" t="e">
        <f>VLOOKUP(B730,COHVPI!A:N,14,0)</f>
        <v>#N/A</v>
      </c>
      <c r="AE730" s="95" t="e">
        <f>VLOOKUP(B730,COHVPI!A:E,5,0)</f>
        <v>#N/A</v>
      </c>
      <c r="AF730" s="95" t="e">
        <f t="shared" si="22"/>
        <v>#N/A</v>
      </c>
    </row>
    <row r="731" spans="30:32" x14ac:dyDescent="0.25">
      <c r="AD731" t="e">
        <f>VLOOKUP(B731,COHVPI!A:N,14,0)</f>
        <v>#N/A</v>
      </c>
      <c r="AE731" s="95" t="e">
        <f>VLOOKUP(B731,COHVPI!A:E,5,0)</f>
        <v>#N/A</v>
      </c>
      <c r="AF731" s="95" t="e">
        <f t="shared" si="22"/>
        <v>#N/A</v>
      </c>
    </row>
    <row r="732" spans="30:32" x14ac:dyDescent="0.25">
      <c r="AD732" t="e">
        <f>VLOOKUP(B732,COHVPI!A:N,14,0)</f>
        <v>#N/A</v>
      </c>
      <c r="AE732" s="95" t="e">
        <f>VLOOKUP(B732,COHVPI!A:E,5,0)</f>
        <v>#N/A</v>
      </c>
      <c r="AF732" s="95" t="e">
        <f t="shared" si="22"/>
        <v>#N/A</v>
      </c>
    </row>
    <row r="733" spans="30:32" x14ac:dyDescent="0.25">
      <c r="AD733" t="e">
        <f>VLOOKUP(B733,COHVPI!A:N,14,0)</f>
        <v>#N/A</v>
      </c>
      <c r="AE733" s="95" t="e">
        <f>VLOOKUP(B733,COHVPI!A:E,5,0)</f>
        <v>#N/A</v>
      </c>
      <c r="AF733" s="95" t="e">
        <f t="shared" si="22"/>
        <v>#N/A</v>
      </c>
    </row>
    <row r="734" spans="30:32" x14ac:dyDescent="0.25">
      <c r="AD734" t="e">
        <f>VLOOKUP(B734,COHVPI!A:N,14,0)</f>
        <v>#N/A</v>
      </c>
      <c r="AE734" s="95" t="e">
        <f>VLOOKUP(B734,COHVPI!A:E,5,0)</f>
        <v>#N/A</v>
      </c>
      <c r="AF734" s="95" t="e">
        <f t="shared" si="22"/>
        <v>#N/A</v>
      </c>
    </row>
    <row r="735" spans="30:32" x14ac:dyDescent="0.25">
      <c r="AD735" t="e">
        <f>VLOOKUP(B735,COHVPI!A:N,14,0)</f>
        <v>#N/A</v>
      </c>
      <c r="AE735" s="95" t="e">
        <f>VLOOKUP(B735,COHVPI!A:E,5,0)</f>
        <v>#N/A</v>
      </c>
      <c r="AF735" s="95" t="e">
        <f t="shared" si="22"/>
        <v>#N/A</v>
      </c>
    </row>
    <row r="736" spans="30:32" x14ac:dyDescent="0.25">
      <c r="AD736" t="e">
        <f>VLOOKUP(B736,COHVPI!A:N,14,0)</f>
        <v>#N/A</v>
      </c>
      <c r="AE736" s="95" t="e">
        <f>VLOOKUP(B736,COHVPI!A:E,5,0)</f>
        <v>#N/A</v>
      </c>
      <c r="AF736" s="95" t="e">
        <f t="shared" si="22"/>
        <v>#N/A</v>
      </c>
    </row>
    <row r="737" spans="30:32" x14ac:dyDescent="0.25">
      <c r="AD737" t="e">
        <f>VLOOKUP(B737,COHVPI!A:N,14,0)</f>
        <v>#N/A</v>
      </c>
      <c r="AE737" s="95" t="e">
        <f>VLOOKUP(B737,COHVPI!A:E,5,0)</f>
        <v>#N/A</v>
      </c>
      <c r="AF737" s="95" t="e">
        <f t="shared" si="22"/>
        <v>#N/A</v>
      </c>
    </row>
    <row r="738" spans="30:32" x14ac:dyDescent="0.25">
      <c r="AD738" t="e">
        <f>VLOOKUP(B738,COHVPI!A:N,14,0)</f>
        <v>#N/A</v>
      </c>
      <c r="AE738" s="95" t="e">
        <f>VLOOKUP(B738,COHVPI!A:E,5,0)</f>
        <v>#N/A</v>
      </c>
      <c r="AF738" s="95" t="e">
        <f t="shared" si="22"/>
        <v>#N/A</v>
      </c>
    </row>
    <row r="739" spans="30:32" x14ac:dyDescent="0.25">
      <c r="AD739" t="e">
        <f>VLOOKUP(B739,COHVPI!A:N,14,0)</f>
        <v>#N/A</v>
      </c>
      <c r="AE739" s="95" t="e">
        <f>VLOOKUP(B739,COHVPI!A:E,5,0)</f>
        <v>#N/A</v>
      </c>
      <c r="AF739" s="95" t="e">
        <f t="shared" si="22"/>
        <v>#N/A</v>
      </c>
    </row>
    <row r="740" spans="30:32" x14ac:dyDescent="0.25">
      <c r="AD740" t="e">
        <f>VLOOKUP(B740,COHVPI!A:N,14,0)</f>
        <v>#N/A</v>
      </c>
      <c r="AE740" s="95" t="e">
        <f>VLOOKUP(B740,COHVPI!A:E,5,0)</f>
        <v>#N/A</v>
      </c>
      <c r="AF740" s="95" t="e">
        <f t="shared" si="22"/>
        <v>#N/A</v>
      </c>
    </row>
    <row r="741" spans="30:32" x14ac:dyDescent="0.25">
      <c r="AD741" t="e">
        <f>VLOOKUP(B741,COHVPI!A:N,14,0)</f>
        <v>#N/A</v>
      </c>
      <c r="AE741" s="95" t="e">
        <f>VLOOKUP(B741,COHVPI!A:E,5,0)</f>
        <v>#N/A</v>
      </c>
      <c r="AF741" s="95" t="e">
        <f t="shared" si="22"/>
        <v>#N/A</v>
      </c>
    </row>
    <row r="742" spans="30:32" x14ac:dyDescent="0.25">
      <c r="AD742" t="e">
        <f>VLOOKUP(B742,COHVPI!A:N,14,0)</f>
        <v>#N/A</v>
      </c>
      <c r="AE742" s="95" t="e">
        <f>VLOOKUP(B742,COHVPI!A:E,5,0)</f>
        <v>#N/A</v>
      </c>
      <c r="AF742" s="95" t="e">
        <f t="shared" si="22"/>
        <v>#N/A</v>
      </c>
    </row>
    <row r="743" spans="30:32" x14ac:dyDescent="0.25">
      <c r="AD743" t="e">
        <f>VLOOKUP(B743,COHVPI!A:N,14,0)</f>
        <v>#N/A</v>
      </c>
      <c r="AE743" s="95" t="e">
        <f>VLOOKUP(B743,COHVPI!A:E,5,0)</f>
        <v>#N/A</v>
      </c>
      <c r="AF743" s="95" t="e">
        <f t="shared" si="22"/>
        <v>#N/A</v>
      </c>
    </row>
    <row r="744" spans="30:32" x14ac:dyDescent="0.25">
      <c r="AD744" t="e">
        <f>VLOOKUP(B744,COHVPI!A:N,14,0)</f>
        <v>#N/A</v>
      </c>
      <c r="AE744" s="95" t="e">
        <f>VLOOKUP(B744,COHVPI!A:E,5,0)</f>
        <v>#N/A</v>
      </c>
      <c r="AF744" s="95" t="e">
        <f t="shared" si="22"/>
        <v>#N/A</v>
      </c>
    </row>
    <row r="745" spans="30:32" x14ac:dyDescent="0.25">
      <c r="AD745" t="e">
        <f>VLOOKUP(B745,COHVPI!A:N,14,0)</f>
        <v>#N/A</v>
      </c>
      <c r="AE745" s="95" t="e">
        <f>VLOOKUP(B745,COHVPI!A:E,5,0)</f>
        <v>#N/A</v>
      </c>
      <c r="AF745" s="95" t="e">
        <f t="shared" si="22"/>
        <v>#N/A</v>
      </c>
    </row>
    <row r="746" spans="30:32" x14ac:dyDescent="0.25">
      <c r="AD746" t="e">
        <f>VLOOKUP(B746,COHVPI!A:N,14,0)</f>
        <v>#N/A</v>
      </c>
      <c r="AE746" s="95" t="e">
        <f>VLOOKUP(B746,COHVPI!A:E,5,0)</f>
        <v>#N/A</v>
      </c>
      <c r="AF746" s="95" t="e">
        <f t="shared" si="22"/>
        <v>#N/A</v>
      </c>
    </row>
    <row r="747" spans="30:32" x14ac:dyDescent="0.25">
      <c r="AD747" t="e">
        <f>VLOOKUP(B747,COHVPI!A:N,14,0)</f>
        <v>#N/A</v>
      </c>
      <c r="AE747" s="95" t="e">
        <f>VLOOKUP(B747,COHVPI!A:E,5,0)</f>
        <v>#N/A</v>
      </c>
      <c r="AF747" s="95" t="e">
        <f t="shared" si="22"/>
        <v>#N/A</v>
      </c>
    </row>
    <row r="748" spans="30:32" x14ac:dyDescent="0.25">
      <c r="AD748" t="e">
        <f>VLOOKUP(B748,COHVPI!A:N,14,0)</f>
        <v>#N/A</v>
      </c>
      <c r="AE748" s="95" t="e">
        <f>VLOOKUP(B748,COHVPI!A:E,5,0)</f>
        <v>#N/A</v>
      </c>
      <c r="AF748" s="95" t="e">
        <f t="shared" si="22"/>
        <v>#N/A</v>
      </c>
    </row>
    <row r="749" spans="30:32" x14ac:dyDescent="0.25">
      <c r="AD749" t="e">
        <f>VLOOKUP(B749,COHVPI!A:N,14,0)</f>
        <v>#N/A</v>
      </c>
      <c r="AE749" s="95" t="e">
        <f>VLOOKUP(B749,COHVPI!A:E,5,0)</f>
        <v>#N/A</v>
      </c>
      <c r="AF749" s="95" t="e">
        <f t="shared" si="22"/>
        <v>#N/A</v>
      </c>
    </row>
    <row r="750" spans="30:32" x14ac:dyDescent="0.25">
      <c r="AD750" t="e">
        <f>VLOOKUP(B750,COHVPI!A:N,14,0)</f>
        <v>#N/A</v>
      </c>
      <c r="AE750" s="95" t="e">
        <f>VLOOKUP(B750,COHVPI!A:E,5,0)</f>
        <v>#N/A</v>
      </c>
      <c r="AF750" s="95" t="e">
        <f t="shared" si="22"/>
        <v>#N/A</v>
      </c>
    </row>
    <row r="751" spans="30:32" x14ac:dyDescent="0.25">
      <c r="AD751" t="e">
        <f>VLOOKUP(B751,COHVPI!A:N,14,0)</f>
        <v>#N/A</v>
      </c>
      <c r="AE751" s="95" t="e">
        <f>VLOOKUP(B751,COHVPI!A:E,5,0)</f>
        <v>#N/A</v>
      </c>
      <c r="AF751" s="95" t="e">
        <f t="shared" si="22"/>
        <v>#N/A</v>
      </c>
    </row>
    <row r="752" spans="30:32" x14ac:dyDescent="0.25">
      <c r="AD752" t="e">
        <f>VLOOKUP(B752,COHVPI!A:N,14,0)</f>
        <v>#N/A</v>
      </c>
      <c r="AE752" s="95" t="e">
        <f>VLOOKUP(B752,COHVPI!A:E,5,0)</f>
        <v>#N/A</v>
      </c>
      <c r="AF752" s="95" t="e">
        <f t="shared" si="22"/>
        <v>#N/A</v>
      </c>
    </row>
    <row r="753" spans="30:32" x14ac:dyDescent="0.25">
      <c r="AD753" t="e">
        <f>VLOOKUP(B753,COHVPI!A:N,14,0)</f>
        <v>#N/A</v>
      </c>
      <c r="AE753" s="95" t="e">
        <f>VLOOKUP(B753,COHVPI!A:E,5,0)</f>
        <v>#N/A</v>
      </c>
      <c r="AF753" s="95" t="e">
        <f t="shared" si="22"/>
        <v>#N/A</v>
      </c>
    </row>
    <row r="754" spans="30:32" x14ac:dyDescent="0.25">
      <c r="AD754" t="e">
        <f>VLOOKUP(B754,COHVPI!A:N,14,0)</f>
        <v>#N/A</v>
      </c>
      <c r="AE754" s="95" t="e">
        <f>VLOOKUP(B754,COHVPI!A:E,5,0)</f>
        <v>#N/A</v>
      </c>
      <c r="AF754" s="95" t="e">
        <f t="shared" si="22"/>
        <v>#N/A</v>
      </c>
    </row>
    <row r="755" spans="30:32" x14ac:dyDescent="0.25">
      <c r="AD755" t="e">
        <f>VLOOKUP(B755,COHVPI!A:N,14,0)</f>
        <v>#N/A</v>
      </c>
      <c r="AE755" s="95" t="e">
        <f>VLOOKUP(B755,COHVPI!A:E,5,0)</f>
        <v>#N/A</v>
      </c>
      <c r="AF755" s="95" t="e">
        <f t="shared" si="22"/>
        <v>#N/A</v>
      </c>
    </row>
    <row r="756" spans="30:32" x14ac:dyDescent="0.25">
      <c r="AD756" t="e">
        <f>VLOOKUP(B756,COHVPI!A:N,14,0)</f>
        <v>#N/A</v>
      </c>
      <c r="AE756" s="95" t="e">
        <f>VLOOKUP(B756,COHVPI!A:E,5,0)</f>
        <v>#N/A</v>
      </c>
      <c r="AF756" s="95" t="e">
        <f t="shared" si="22"/>
        <v>#N/A</v>
      </c>
    </row>
    <row r="757" spans="30:32" x14ac:dyDescent="0.25">
      <c r="AD757" t="e">
        <f>VLOOKUP(B757,COHVPI!A:N,14,0)</f>
        <v>#N/A</v>
      </c>
      <c r="AE757" s="95" t="e">
        <f>VLOOKUP(B757,COHVPI!A:E,5,0)</f>
        <v>#N/A</v>
      </c>
      <c r="AF757" s="95" t="e">
        <f t="shared" si="22"/>
        <v>#N/A</v>
      </c>
    </row>
    <row r="758" spans="30:32" x14ac:dyDescent="0.25">
      <c r="AD758" t="e">
        <f>VLOOKUP(B758,COHVPI!A:N,14,0)</f>
        <v>#N/A</v>
      </c>
      <c r="AE758" s="95" t="e">
        <f>VLOOKUP(B758,COHVPI!A:E,5,0)</f>
        <v>#N/A</v>
      </c>
      <c r="AF758" s="95" t="e">
        <f t="shared" si="22"/>
        <v>#N/A</v>
      </c>
    </row>
    <row r="759" spans="30:32" x14ac:dyDescent="0.25">
      <c r="AD759" t="e">
        <f>VLOOKUP(B759,COHVPI!A:N,14,0)</f>
        <v>#N/A</v>
      </c>
      <c r="AE759" s="95" t="e">
        <f>VLOOKUP(B759,COHVPI!A:E,5,0)</f>
        <v>#N/A</v>
      </c>
      <c r="AF759" s="95" t="e">
        <f t="shared" si="22"/>
        <v>#N/A</v>
      </c>
    </row>
    <row r="760" spans="30:32" x14ac:dyDescent="0.25">
      <c r="AD760" t="e">
        <f>VLOOKUP(B760,COHVPI!A:N,14,0)</f>
        <v>#N/A</v>
      </c>
      <c r="AE760" s="95" t="e">
        <f>VLOOKUP(B760,COHVPI!A:E,5,0)</f>
        <v>#N/A</v>
      </c>
      <c r="AF760" s="95" t="e">
        <f t="shared" si="22"/>
        <v>#N/A</v>
      </c>
    </row>
    <row r="761" spans="30:32" x14ac:dyDescent="0.25">
      <c r="AD761" t="e">
        <f>VLOOKUP(B761,COHVPI!A:N,14,0)</f>
        <v>#N/A</v>
      </c>
      <c r="AE761" s="95" t="e">
        <f>VLOOKUP(B761,COHVPI!A:E,5,0)</f>
        <v>#N/A</v>
      </c>
      <c r="AF761" s="95" t="e">
        <f t="shared" si="22"/>
        <v>#N/A</v>
      </c>
    </row>
    <row r="762" spans="30:32" x14ac:dyDescent="0.25">
      <c r="AD762" t="e">
        <f>VLOOKUP(B762,COHVPI!A:N,14,0)</f>
        <v>#N/A</v>
      </c>
      <c r="AE762" s="95" t="e">
        <f>VLOOKUP(B762,COHVPI!A:E,5,0)</f>
        <v>#N/A</v>
      </c>
      <c r="AF762" s="95" t="e">
        <f t="shared" si="22"/>
        <v>#N/A</v>
      </c>
    </row>
    <row r="763" spans="30:32" x14ac:dyDescent="0.25">
      <c r="AD763" t="e">
        <f>VLOOKUP(B763,COHVPI!A:N,14,0)</f>
        <v>#N/A</v>
      </c>
      <c r="AE763" s="95" t="e">
        <f>VLOOKUP(B763,COHVPI!A:E,5,0)</f>
        <v>#N/A</v>
      </c>
      <c r="AF763" s="95" t="e">
        <f t="shared" si="22"/>
        <v>#N/A</v>
      </c>
    </row>
    <row r="764" spans="30:32" x14ac:dyDescent="0.25">
      <c r="AD764" t="e">
        <f>VLOOKUP(B764,COHVPI!A:N,14,0)</f>
        <v>#N/A</v>
      </c>
      <c r="AE764" s="95" t="e">
        <f>VLOOKUP(B764,COHVPI!A:E,5,0)</f>
        <v>#N/A</v>
      </c>
      <c r="AF764" s="95" t="e">
        <f t="shared" si="22"/>
        <v>#N/A</v>
      </c>
    </row>
    <row r="765" spans="30:32" x14ac:dyDescent="0.25">
      <c r="AD765" t="e">
        <f>VLOOKUP(B765,COHVPI!A:N,14,0)</f>
        <v>#N/A</v>
      </c>
      <c r="AE765" s="95" t="e">
        <f>VLOOKUP(B765,COHVPI!A:E,5,0)</f>
        <v>#N/A</v>
      </c>
      <c r="AF765" s="95" t="e">
        <f t="shared" si="22"/>
        <v>#N/A</v>
      </c>
    </row>
    <row r="766" spans="30:32" x14ac:dyDescent="0.25">
      <c r="AD766" t="e">
        <f>VLOOKUP(B766,COHVPI!A:N,14,0)</f>
        <v>#N/A</v>
      </c>
      <c r="AE766" s="95" t="e">
        <f>VLOOKUP(B766,COHVPI!A:E,5,0)</f>
        <v>#N/A</v>
      </c>
      <c r="AF766" s="95" t="e">
        <f t="shared" si="22"/>
        <v>#N/A</v>
      </c>
    </row>
    <row r="767" spans="30:32" x14ac:dyDescent="0.25">
      <c r="AD767" t="e">
        <f>VLOOKUP(B767,COHVPI!A:N,14,0)</f>
        <v>#N/A</v>
      </c>
      <c r="AE767" s="95" t="e">
        <f>VLOOKUP(B767,COHVPI!A:E,5,0)</f>
        <v>#N/A</v>
      </c>
      <c r="AF767" s="95" t="e">
        <f t="shared" si="22"/>
        <v>#N/A</v>
      </c>
    </row>
    <row r="768" spans="30:32" x14ac:dyDescent="0.25">
      <c r="AD768" t="e">
        <f>VLOOKUP(B768,COHVPI!A:N,14,0)</f>
        <v>#N/A</v>
      </c>
      <c r="AE768" s="95" t="e">
        <f>VLOOKUP(B768,COHVPI!A:E,5,0)</f>
        <v>#N/A</v>
      </c>
      <c r="AF768" s="95" t="e">
        <f t="shared" si="22"/>
        <v>#N/A</v>
      </c>
    </row>
    <row r="769" spans="30:32" x14ac:dyDescent="0.25">
      <c r="AD769" t="e">
        <f>VLOOKUP(B769,COHVPI!A:N,14,0)</f>
        <v>#N/A</v>
      </c>
      <c r="AE769" s="95" t="e">
        <f>VLOOKUP(B769,COHVPI!A:E,5,0)</f>
        <v>#N/A</v>
      </c>
      <c r="AF769" s="95" t="e">
        <f t="shared" si="22"/>
        <v>#N/A</v>
      </c>
    </row>
    <row r="770" spans="30:32" x14ac:dyDescent="0.25">
      <c r="AD770" t="e">
        <f>VLOOKUP(B770,COHVPI!A:N,14,0)</f>
        <v>#N/A</v>
      </c>
      <c r="AE770" s="95" t="e">
        <f>VLOOKUP(B770,COHVPI!A:E,5,0)</f>
        <v>#N/A</v>
      </c>
      <c r="AF770" s="95" t="e">
        <f t="shared" si="22"/>
        <v>#N/A</v>
      </c>
    </row>
    <row r="771" spans="30:32" x14ac:dyDescent="0.25">
      <c r="AD771" t="e">
        <f>VLOOKUP(B771,COHVPI!A:N,14,0)</f>
        <v>#N/A</v>
      </c>
      <c r="AE771" s="95" t="e">
        <f>VLOOKUP(B771,COHVPI!A:E,5,0)</f>
        <v>#N/A</v>
      </c>
      <c r="AF771" s="95" t="e">
        <f t="shared" si="22"/>
        <v>#N/A</v>
      </c>
    </row>
    <row r="772" spans="30:32" x14ac:dyDescent="0.25">
      <c r="AD772" t="e">
        <f>VLOOKUP(B772,COHVPI!A:N,14,0)</f>
        <v>#N/A</v>
      </c>
      <c r="AE772" s="95" t="e">
        <f>VLOOKUP(B772,COHVPI!A:E,5,0)</f>
        <v>#N/A</v>
      </c>
      <c r="AF772" s="95" t="e">
        <f t="shared" si="22"/>
        <v>#N/A</v>
      </c>
    </row>
    <row r="773" spans="30:32" x14ac:dyDescent="0.25">
      <c r="AD773" t="e">
        <f>VLOOKUP(B773,COHVPI!A:N,14,0)</f>
        <v>#N/A</v>
      </c>
      <c r="AE773" s="95" t="e">
        <f>VLOOKUP(B773,COHVPI!A:E,5,0)</f>
        <v>#N/A</v>
      </c>
      <c r="AF773" s="95" t="e">
        <f t="shared" si="22"/>
        <v>#N/A</v>
      </c>
    </row>
    <row r="774" spans="30:32" x14ac:dyDescent="0.25">
      <c r="AD774" t="e">
        <f>VLOOKUP(B774,COHVPI!A:N,14,0)</f>
        <v>#N/A</v>
      </c>
      <c r="AE774" s="95" t="e">
        <f>VLOOKUP(B774,COHVPI!A:E,5,0)</f>
        <v>#N/A</v>
      </c>
      <c r="AF774" s="95" t="e">
        <f t="shared" si="22"/>
        <v>#N/A</v>
      </c>
    </row>
    <row r="775" spans="30:32" x14ac:dyDescent="0.25">
      <c r="AD775" t="e">
        <f>VLOOKUP(B775,COHVPI!A:N,14,0)</f>
        <v>#N/A</v>
      </c>
      <c r="AE775" s="95" t="e">
        <f>VLOOKUP(B775,COHVPI!A:E,5,0)</f>
        <v>#N/A</v>
      </c>
      <c r="AF775" s="95" t="e">
        <f t="shared" si="22"/>
        <v>#N/A</v>
      </c>
    </row>
    <row r="776" spans="30:32" x14ac:dyDescent="0.25">
      <c r="AD776" t="e">
        <f>VLOOKUP(B776,COHVPI!A:N,14,0)</f>
        <v>#N/A</v>
      </c>
      <c r="AE776" s="95" t="e">
        <f>VLOOKUP(B776,COHVPI!A:E,5,0)</f>
        <v>#N/A</v>
      </c>
      <c r="AF776" s="95" t="e">
        <f t="shared" si="22"/>
        <v>#N/A</v>
      </c>
    </row>
    <row r="777" spans="30:32" x14ac:dyDescent="0.25">
      <c r="AD777" t="e">
        <f>VLOOKUP(B777,COHVPI!A:N,14,0)</f>
        <v>#N/A</v>
      </c>
      <c r="AE777" s="95" t="e">
        <f>VLOOKUP(B777,COHVPI!A:E,5,0)</f>
        <v>#N/A</v>
      </c>
      <c r="AF777" s="95" t="e">
        <f t="shared" si="22"/>
        <v>#N/A</v>
      </c>
    </row>
    <row r="778" spans="30:32" x14ac:dyDescent="0.25">
      <c r="AD778" t="e">
        <f>VLOOKUP(B778,COHVPI!A:N,14,0)</f>
        <v>#N/A</v>
      </c>
      <c r="AE778" s="95" t="e">
        <f>VLOOKUP(B778,COHVPI!A:E,5,0)</f>
        <v>#N/A</v>
      </c>
      <c r="AF778" s="95" t="e">
        <f t="shared" si="22"/>
        <v>#N/A</v>
      </c>
    </row>
    <row r="779" spans="30:32" x14ac:dyDescent="0.25">
      <c r="AD779" t="e">
        <f>VLOOKUP(B779,COHVPI!A:N,14,0)</f>
        <v>#N/A</v>
      </c>
      <c r="AE779" s="95" t="e">
        <f>VLOOKUP(B779,COHVPI!A:E,5,0)</f>
        <v>#N/A</v>
      </c>
      <c r="AF779" s="95" t="e">
        <f t="shared" si="22"/>
        <v>#N/A</v>
      </c>
    </row>
    <row r="780" spans="30:32" x14ac:dyDescent="0.25">
      <c r="AD780" t="e">
        <f>VLOOKUP(B780,COHVPI!A:N,14,0)</f>
        <v>#N/A</v>
      </c>
      <c r="AE780" s="95" t="e">
        <f>VLOOKUP(B780,COHVPI!A:E,5,0)</f>
        <v>#N/A</v>
      </c>
      <c r="AF780" s="95" t="e">
        <f t="shared" si="22"/>
        <v>#N/A</v>
      </c>
    </row>
    <row r="781" spans="30:32" x14ac:dyDescent="0.25">
      <c r="AD781" t="e">
        <f>VLOOKUP(B781,COHVPI!A:N,14,0)</f>
        <v>#N/A</v>
      </c>
      <c r="AE781" s="95" t="e">
        <f>VLOOKUP(B781,COHVPI!A:E,5,0)</f>
        <v>#N/A</v>
      </c>
      <c r="AF781" s="95" t="e">
        <f t="shared" si="22"/>
        <v>#N/A</v>
      </c>
    </row>
    <row r="782" spans="30:32" x14ac:dyDescent="0.25">
      <c r="AD782" t="e">
        <f>VLOOKUP(B782,COHVPI!A:N,14,0)</f>
        <v>#N/A</v>
      </c>
      <c r="AE782" s="95" t="e">
        <f>VLOOKUP(B782,COHVPI!A:E,5,0)</f>
        <v>#N/A</v>
      </c>
      <c r="AF782" s="95" t="e">
        <f t="shared" si="22"/>
        <v>#N/A</v>
      </c>
    </row>
    <row r="783" spans="30:32" x14ac:dyDescent="0.25">
      <c r="AD783" t="e">
        <f>VLOOKUP(B783,COHVPI!A:N,14,0)</f>
        <v>#N/A</v>
      </c>
      <c r="AE783" s="95" t="e">
        <f>VLOOKUP(B783,COHVPI!A:E,5,0)</f>
        <v>#N/A</v>
      </c>
      <c r="AF783" s="95" t="e">
        <f t="shared" si="22"/>
        <v>#N/A</v>
      </c>
    </row>
    <row r="784" spans="30:32" x14ac:dyDescent="0.25">
      <c r="AD784" t="e">
        <f>VLOOKUP(B784,COHVPI!A:N,14,0)</f>
        <v>#N/A</v>
      </c>
      <c r="AE784" s="95" t="e">
        <f>VLOOKUP(B784,COHVPI!A:E,5,0)</f>
        <v>#N/A</v>
      </c>
      <c r="AF784" s="95" t="e">
        <f t="shared" si="22"/>
        <v>#N/A</v>
      </c>
    </row>
    <row r="785" spans="30:32" x14ac:dyDescent="0.25">
      <c r="AD785" t="e">
        <f>VLOOKUP(B785,COHVPI!A:N,14,0)</f>
        <v>#N/A</v>
      </c>
      <c r="AE785" s="95" t="e">
        <f>VLOOKUP(B785,COHVPI!A:E,5,0)</f>
        <v>#N/A</v>
      </c>
      <c r="AF785" s="95" t="e">
        <f t="shared" ref="AF785:AF848" si="23">AE785-D785</f>
        <v>#N/A</v>
      </c>
    </row>
    <row r="786" spans="30:32" x14ac:dyDescent="0.25">
      <c r="AD786" t="e">
        <f>VLOOKUP(B786,COHVPI!A:N,14,0)</f>
        <v>#N/A</v>
      </c>
      <c r="AE786" s="95" t="e">
        <f>VLOOKUP(B786,COHVPI!A:E,5,0)</f>
        <v>#N/A</v>
      </c>
      <c r="AF786" s="95" t="e">
        <f t="shared" si="23"/>
        <v>#N/A</v>
      </c>
    </row>
    <row r="787" spans="30:32" x14ac:dyDescent="0.25">
      <c r="AD787" t="e">
        <f>VLOOKUP(B787,COHVPI!A:N,14,0)</f>
        <v>#N/A</v>
      </c>
      <c r="AE787" s="95" t="e">
        <f>VLOOKUP(B787,COHVPI!A:E,5,0)</f>
        <v>#N/A</v>
      </c>
      <c r="AF787" s="95" t="e">
        <f t="shared" si="23"/>
        <v>#N/A</v>
      </c>
    </row>
    <row r="788" spans="30:32" x14ac:dyDescent="0.25">
      <c r="AD788" t="e">
        <f>VLOOKUP(B788,COHVPI!A:N,14,0)</f>
        <v>#N/A</v>
      </c>
      <c r="AE788" s="95" t="e">
        <f>VLOOKUP(B788,COHVPI!A:E,5,0)</f>
        <v>#N/A</v>
      </c>
      <c r="AF788" s="95" t="e">
        <f t="shared" si="23"/>
        <v>#N/A</v>
      </c>
    </row>
    <row r="789" spans="30:32" x14ac:dyDescent="0.25">
      <c r="AD789" t="e">
        <f>VLOOKUP(B789,COHVPI!A:N,14,0)</f>
        <v>#N/A</v>
      </c>
      <c r="AE789" s="95" t="e">
        <f>VLOOKUP(B789,COHVPI!A:E,5,0)</f>
        <v>#N/A</v>
      </c>
      <c r="AF789" s="95" t="e">
        <f t="shared" si="23"/>
        <v>#N/A</v>
      </c>
    </row>
    <row r="790" spans="30:32" x14ac:dyDescent="0.25">
      <c r="AD790" t="e">
        <f>VLOOKUP(B790,COHVPI!A:N,14,0)</f>
        <v>#N/A</v>
      </c>
      <c r="AE790" s="95" t="e">
        <f>VLOOKUP(B790,COHVPI!A:E,5,0)</f>
        <v>#N/A</v>
      </c>
      <c r="AF790" s="95" t="e">
        <f t="shared" si="23"/>
        <v>#N/A</v>
      </c>
    </row>
    <row r="791" spans="30:32" x14ac:dyDescent="0.25">
      <c r="AD791" t="e">
        <f>VLOOKUP(B791,COHVPI!A:N,14,0)</f>
        <v>#N/A</v>
      </c>
      <c r="AE791" s="95" t="e">
        <f>VLOOKUP(B791,COHVPI!A:E,5,0)</f>
        <v>#N/A</v>
      </c>
      <c r="AF791" s="95" t="e">
        <f t="shared" si="23"/>
        <v>#N/A</v>
      </c>
    </row>
    <row r="792" spans="30:32" x14ac:dyDescent="0.25">
      <c r="AD792" t="e">
        <f>VLOOKUP(B792,COHVPI!A:N,14,0)</f>
        <v>#N/A</v>
      </c>
      <c r="AE792" s="95" t="e">
        <f>VLOOKUP(B792,COHVPI!A:E,5,0)</f>
        <v>#N/A</v>
      </c>
      <c r="AF792" s="95" t="e">
        <f t="shared" si="23"/>
        <v>#N/A</v>
      </c>
    </row>
    <row r="793" spans="30:32" x14ac:dyDescent="0.25">
      <c r="AD793" t="e">
        <f>VLOOKUP(B793,COHVPI!A:N,14,0)</f>
        <v>#N/A</v>
      </c>
      <c r="AE793" s="95" t="e">
        <f>VLOOKUP(B793,COHVPI!A:E,5,0)</f>
        <v>#N/A</v>
      </c>
      <c r="AF793" s="95" t="e">
        <f t="shared" si="23"/>
        <v>#N/A</v>
      </c>
    </row>
    <row r="794" spans="30:32" x14ac:dyDescent="0.25">
      <c r="AD794" t="e">
        <f>VLOOKUP(B794,COHVPI!A:N,14,0)</f>
        <v>#N/A</v>
      </c>
      <c r="AE794" s="95" t="e">
        <f>VLOOKUP(B794,COHVPI!A:E,5,0)</f>
        <v>#N/A</v>
      </c>
      <c r="AF794" s="95" t="e">
        <f t="shared" si="23"/>
        <v>#N/A</v>
      </c>
    </row>
    <row r="795" spans="30:32" x14ac:dyDescent="0.25">
      <c r="AD795" t="e">
        <f>VLOOKUP(B795,COHVPI!A:N,14,0)</f>
        <v>#N/A</v>
      </c>
      <c r="AE795" s="95" t="e">
        <f>VLOOKUP(B795,COHVPI!A:E,5,0)</f>
        <v>#N/A</v>
      </c>
      <c r="AF795" s="95" t="e">
        <f t="shared" si="23"/>
        <v>#N/A</v>
      </c>
    </row>
    <row r="796" spans="30:32" x14ac:dyDescent="0.25">
      <c r="AD796" t="e">
        <f>VLOOKUP(B796,COHVPI!A:N,14,0)</f>
        <v>#N/A</v>
      </c>
      <c r="AE796" s="95" t="e">
        <f>VLOOKUP(B796,COHVPI!A:E,5,0)</f>
        <v>#N/A</v>
      </c>
      <c r="AF796" s="95" t="e">
        <f t="shared" si="23"/>
        <v>#N/A</v>
      </c>
    </row>
    <row r="797" spans="30:32" x14ac:dyDescent="0.25">
      <c r="AD797" t="e">
        <f>VLOOKUP(B797,COHVPI!A:N,14,0)</f>
        <v>#N/A</v>
      </c>
      <c r="AE797" s="95" t="e">
        <f>VLOOKUP(B797,COHVPI!A:E,5,0)</f>
        <v>#N/A</v>
      </c>
      <c r="AF797" s="95" t="e">
        <f t="shared" si="23"/>
        <v>#N/A</v>
      </c>
    </row>
    <row r="798" spans="30:32" x14ac:dyDescent="0.25">
      <c r="AD798" t="e">
        <f>VLOOKUP(B798,COHVPI!A:N,14,0)</f>
        <v>#N/A</v>
      </c>
      <c r="AE798" s="95" t="e">
        <f>VLOOKUP(B798,COHVPI!A:E,5,0)</f>
        <v>#N/A</v>
      </c>
      <c r="AF798" s="95" t="e">
        <f t="shared" si="23"/>
        <v>#N/A</v>
      </c>
    </row>
    <row r="799" spans="30:32" x14ac:dyDescent="0.25">
      <c r="AD799" t="e">
        <f>VLOOKUP(B799,COHVPI!A:N,14,0)</f>
        <v>#N/A</v>
      </c>
      <c r="AE799" s="95" t="e">
        <f>VLOOKUP(B799,COHVPI!A:E,5,0)</f>
        <v>#N/A</v>
      </c>
      <c r="AF799" s="95" t="e">
        <f t="shared" si="23"/>
        <v>#N/A</v>
      </c>
    </row>
    <row r="800" spans="30:32" x14ac:dyDescent="0.25">
      <c r="AD800" t="e">
        <f>VLOOKUP(B800,COHVPI!A:N,14,0)</f>
        <v>#N/A</v>
      </c>
      <c r="AE800" s="95" t="e">
        <f>VLOOKUP(B800,COHVPI!A:E,5,0)</f>
        <v>#N/A</v>
      </c>
      <c r="AF800" s="95" t="e">
        <f t="shared" si="23"/>
        <v>#N/A</v>
      </c>
    </row>
    <row r="801" spans="30:32" x14ac:dyDescent="0.25">
      <c r="AD801" t="e">
        <f>VLOOKUP(B801,COHVPI!A:N,14,0)</f>
        <v>#N/A</v>
      </c>
      <c r="AE801" s="95" t="e">
        <f>VLOOKUP(B801,COHVPI!A:E,5,0)</f>
        <v>#N/A</v>
      </c>
      <c r="AF801" s="95" t="e">
        <f t="shared" si="23"/>
        <v>#N/A</v>
      </c>
    </row>
    <row r="802" spans="30:32" x14ac:dyDescent="0.25">
      <c r="AD802" t="e">
        <f>VLOOKUP(B802,COHVPI!A:N,14,0)</f>
        <v>#N/A</v>
      </c>
      <c r="AE802" s="95" t="e">
        <f>VLOOKUP(B802,COHVPI!A:E,5,0)</f>
        <v>#N/A</v>
      </c>
      <c r="AF802" s="95" t="e">
        <f t="shared" si="23"/>
        <v>#N/A</v>
      </c>
    </row>
    <row r="803" spans="30:32" x14ac:dyDescent="0.25">
      <c r="AD803" t="e">
        <f>VLOOKUP(B803,COHVPI!A:N,14,0)</f>
        <v>#N/A</v>
      </c>
      <c r="AE803" s="95" t="e">
        <f>VLOOKUP(B803,COHVPI!A:E,5,0)</f>
        <v>#N/A</v>
      </c>
      <c r="AF803" s="95" t="e">
        <f t="shared" si="23"/>
        <v>#N/A</v>
      </c>
    </row>
    <row r="804" spans="30:32" x14ac:dyDescent="0.25">
      <c r="AD804" t="e">
        <f>VLOOKUP(B804,COHVPI!A:N,14,0)</f>
        <v>#N/A</v>
      </c>
      <c r="AE804" s="95" t="e">
        <f>VLOOKUP(B804,COHVPI!A:E,5,0)</f>
        <v>#N/A</v>
      </c>
      <c r="AF804" s="95" t="e">
        <f t="shared" si="23"/>
        <v>#N/A</v>
      </c>
    </row>
    <row r="805" spans="30:32" x14ac:dyDescent="0.25">
      <c r="AD805" t="e">
        <f>VLOOKUP(B805,COHVPI!A:N,14,0)</f>
        <v>#N/A</v>
      </c>
      <c r="AE805" s="95" t="e">
        <f>VLOOKUP(B805,COHVPI!A:E,5,0)</f>
        <v>#N/A</v>
      </c>
      <c r="AF805" s="95" t="e">
        <f t="shared" si="23"/>
        <v>#N/A</v>
      </c>
    </row>
    <row r="806" spans="30:32" x14ac:dyDescent="0.25">
      <c r="AD806" t="e">
        <f>VLOOKUP(B806,COHVPI!A:N,14,0)</f>
        <v>#N/A</v>
      </c>
      <c r="AE806" s="95" t="e">
        <f>VLOOKUP(B806,COHVPI!A:E,5,0)</f>
        <v>#N/A</v>
      </c>
      <c r="AF806" s="95" t="e">
        <f t="shared" si="23"/>
        <v>#N/A</v>
      </c>
    </row>
    <row r="807" spans="30:32" x14ac:dyDescent="0.25">
      <c r="AD807" t="e">
        <f>VLOOKUP(B807,COHVPI!A:N,14,0)</f>
        <v>#N/A</v>
      </c>
      <c r="AE807" s="95" t="e">
        <f>VLOOKUP(B807,COHVPI!A:E,5,0)</f>
        <v>#N/A</v>
      </c>
      <c r="AF807" s="95" t="e">
        <f t="shared" si="23"/>
        <v>#N/A</v>
      </c>
    </row>
    <row r="808" spans="30:32" x14ac:dyDescent="0.25">
      <c r="AD808" t="e">
        <f>VLOOKUP(B808,COHVPI!A:N,14,0)</f>
        <v>#N/A</v>
      </c>
      <c r="AE808" s="95" t="e">
        <f>VLOOKUP(B808,COHVPI!A:E,5,0)</f>
        <v>#N/A</v>
      </c>
      <c r="AF808" s="95" t="e">
        <f t="shared" si="23"/>
        <v>#N/A</v>
      </c>
    </row>
    <row r="809" spans="30:32" x14ac:dyDescent="0.25">
      <c r="AD809" t="e">
        <f>VLOOKUP(B809,COHVPI!A:N,14,0)</f>
        <v>#N/A</v>
      </c>
      <c r="AE809" s="95" t="e">
        <f>VLOOKUP(B809,COHVPI!A:E,5,0)</f>
        <v>#N/A</v>
      </c>
      <c r="AF809" s="95" t="e">
        <f t="shared" si="23"/>
        <v>#N/A</v>
      </c>
    </row>
    <row r="810" spans="30:32" x14ac:dyDescent="0.25">
      <c r="AD810" t="e">
        <f>VLOOKUP(B810,COHVPI!A:N,14,0)</f>
        <v>#N/A</v>
      </c>
      <c r="AE810" s="95" t="e">
        <f>VLOOKUP(B810,COHVPI!A:E,5,0)</f>
        <v>#N/A</v>
      </c>
      <c r="AF810" s="95" t="e">
        <f t="shared" si="23"/>
        <v>#N/A</v>
      </c>
    </row>
    <row r="811" spans="30:32" x14ac:dyDescent="0.25">
      <c r="AD811" t="e">
        <f>VLOOKUP(B811,COHVPI!A:N,14,0)</f>
        <v>#N/A</v>
      </c>
      <c r="AE811" s="95" t="e">
        <f>VLOOKUP(B811,COHVPI!A:E,5,0)</f>
        <v>#N/A</v>
      </c>
      <c r="AF811" s="95" t="e">
        <f t="shared" si="23"/>
        <v>#N/A</v>
      </c>
    </row>
    <row r="812" spans="30:32" x14ac:dyDescent="0.25">
      <c r="AD812" t="e">
        <f>VLOOKUP(B812,COHVPI!A:N,14,0)</f>
        <v>#N/A</v>
      </c>
      <c r="AE812" s="95" t="e">
        <f>VLOOKUP(B812,COHVPI!A:E,5,0)</f>
        <v>#N/A</v>
      </c>
      <c r="AF812" s="95" t="e">
        <f t="shared" si="23"/>
        <v>#N/A</v>
      </c>
    </row>
    <row r="813" spans="30:32" x14ac:dyDescent="0.25">
      <c r="AD813" t="e">
        <f>VLOOKUP(B813,COHVPI!A:N,14,0)</f>
        <v>#N/A</v>
      </c>
      <c r="AE813" s="95" t="e">
        <f>VLOOKUP(B813,COHVPI!A:E,5,0)</f>
        <v>#N/A</v>
      </c>
      <c r="AF813" s="95" t="e">
        <f t="shared" si="23"/>
        <v>#N/A</v>
      </c>
    </row>
    <row r="814" spans="30:32" x14ac:dyDescent="0.25">
      <c r="AD814" t="e">
        <f>VLOOKUP(B814,COHVPI!A:N,14,0)</f>
        <v>#N/A</v>
      </c>
      <c r="AE814" s="95" t="e">
        <f>VLOOKUP(B814,COHVPI!A:E,5,0)</f>
        <v>#N/A</v>
      </c>
      <c r="AF814" s="95" t="e">
        <f t="shared" si="23"/>
        <v>#N/A</v>
      </c>
    </row>
    <row r="815" spans="30:32" x14ac:dyDescent="0.25">
      <c r="AD815" t="e">
        <f>VLOOKUP(B815,COHVPI!A:N,14,0)</f>
        <v>#N/A</v>
      </c>
      <c r="AE815" s="95" t="e">
        <f>VLOOKUP(B815,COHVPI!A:E,5,0)</f>
        <v>#N/A</v>
      </c>
      <c r="AF815" s="95" t="e">
        <f t="shared" si="23"/>
        <v>#N/A</v>
      </c>
    </row>
    <row r="816" spans="30:32" x14ac:dyDescent="0.25">
      <c r="AD816" t="e">
        <f>VLOOKUP(B816,COHVPI!A:N,14,0)</f>
        <v>#N/A</v>
      </c>
      <c r="AE816" s="95" t="e">
        <f>VLOOKUP(B816,COHVPI!A:E,5,0)</f>
        <v>#N/A</v>
      </c>
      <c r="AF816" s="95" t="e">
        <f t="shared" si="23"/>
        <v>#N/A</v>
      </c>
    </row>
    <row r="817" spans="30:32" x14ac:dyDescent="0.25">
      <c r="AD817" t="e">
        <f>VLOOKUP(B817,COHVPI!A:N,14,0)</f>
        <v>#N/A</v>
      </c>
      <c r="AE817" s="95" t="e">
        <f>VLOOKUP(B817,COHVPI!A:E,5,0)</f>
        <v>#N/A</v>
      </c>
      <c r="AF817" s="95" t="e">
        <f t="shared" si="23"/>
        <v>#N/A</v>
      </c>
    </row>
    <row r="818" spans="30:32" x14ac:dyDescent="0.25">
      <c r="AD818" t="e">
        <f>VLOOKUP(B818,COHVPI!A:N,14,0)</f>
        <v>#N/A</v>
      </c>
      <c r="AE818" s="95" t="e">
        <f>VLOOKUP(B818,COHVPI!A:E,5,0)</f>
        <v>#N/A</v>
      </c>
      <c r="AF818" s="95" t="e">
        <f t="shared" si="23"/>
        <v>#N/A</v>
      </c>
    </row>
    <row r="819" spans="30:32" x14ac:dyDescent="0.25">
      <c r="AD819" t="e">
        <f>VLOOKUP(B819,COHVPI!A:N,14,0)</f>
        <v>#N/A</v>
      </c>
      <c r="AE819" s="95" t="e">
        <f>VLOOKUP(B819,COHVPI!A:E,5,0)</f>
        <v>#N/A</v>
      </c>
      <c r="AF819" s="95" t="e">
        <f t="shared" si="23"/>
        <v>#N/A</v>
      </c>
    </row>
    <row r="820" spans="30:32" x14ac:dyDescent="0.25">
      <c r="AD820" t="e">
        <f>VLOOKUP(B820,COHVPI!A:N,14,0)</f>
        <v>#N/A</v>
      </c>
      <c r="AE820" s="95" t="e">
        <f>VLOOKUP(B820,COHVPI!A:E,5,0)</f>
        <v>#N/A</v>
      </c>
      <c r="AF820" s="95" t="e">
        <f t="shared" si="23"/>
        <v>#N/A</v>
      </c>
    </row>
    <row r="821" spans="30:32" x14ac:dyDescent="0.25">
      <c r="AD821" t="e">
        <f>VLOOKUP(B821,COHVPI!A:N,14,0)</f>
        <v>#N/A</v>
      </c>
      <c r="AE821" s="95" t="e">
        <f>VLOOKUP(B821,COHVPI!A:E,5,0)</f>
        <v>#N/A</v>
      </c>
      <c r="AF821" s="95" t="e">
        <f t="shared" si="23"/>
        <v>#N/A</v>
      </c>
    </row>
    <row r="822" spans="30:32" x14ac:dyDescent="0.25">
      <c r="AD822" t="e">
        <f>VLOOKUP(B822,COHVPI!A:N,14,0)</f>
        <v>#N/A</v>
      </c>
      <c r="AE822" s="95" t="e">
        <f>VLOOKUP(B822,COHVPI!A:E,5,0)</f>
        <v>#N/A</v>
      </c>
      <c r="AF822" s="95" t="e">
        <f t="shared" si="23"/>
        <v>#N/A</v>
      </c>
    </row>
    <row r="823" spans="30:32" x14ac:dyDescent="0.25">
      <c r="AD823" t="e">
        <f>VLOOKUP(B823,COHVPI!A:N,14,0)</f>
        <v>#N/A</v>
      </c>
      <c r="AE823" s="95" t="e">
        <f>VLOOKUP(B823,COHVPI!A:E,5,0)</f>
        <v>#N/A</v>
      </c>
      <c r="AF823" s="95" t="e">
        <f t="shared" si="23"/>
        <v>#N/A</v>
      </c>
    </row>
    <row r="824" spans="30:32" x14ac:dyDescent="0.25">
      <c r="AD824" t="e">
        <f>VLOOKUP(B824,COHVPI!A:N,14,0)</f>
        <v>#N/A</v>
      </c>
      <c r="AE824" s="95" t="e">
        <f>VLOOKUP(B824,COHVPI!A:E,5,0)</f>
        <v>#N/A</v>
      </c>
      <c r="AF824" s="95" t="e">
        <f t="shared" si="23"/>
        <v>#N/A</v>
      </c>
    </row>
    <row r="825" spans="30:32" x14ac:dyDescent="0.25">
      <c r="AD825" t="e">
        <f>VLOOKUP(B825,COHVPI!A:N,14,0)</f>
        <v>#N/A</v>
      </c>
      <c r="AE825" s="95" t="e">
        <f>VLOOKUP(B825,COHVPI!A:E,5,0)</f>
        <v>#N/A</v>
      </c>
      <c r="AF825" s="95" t="e">
        <f t="shared" si="23"/>
        <v>#N/A</v>
      </c>
    </row>
    <row r="826" spans="30:32" x14ac:dyDescent="0.25">
      <c r="AD826" t="e">
        <f>VLOOKUP(B826,COHVPI!A:N,14,0)</f>
        <v>#N/A</v>
      </c>
      <c r="AE826" s="95" t="e">
        <f>VLOOKUP(B826,COHVPI!A:E,5,0)</f>
        <v>#N/A</v>
      </c>
      <c r="AF826" s="95" t="e">
        <f t="shared" si="23"/>
        <v>#N/A</v>
      </c>
    </row>
    <row r="827" spans="30:32" x14ac:dyDescent="0.25">
      <c r="AD827" t="e">
        <f>VLOOKUP(B827,COHVPI!A:N,14,0)</f>
        <v>#N/A</v>
      </c>
      <c r="AE827" s="95" t="e">
        <f>VLOOKUP(B827,COHVPI!A:E,5,0)</f>
        <v>#N/A</v>
      </c>
      <c r="AF827" s="95" t="e">
        <f t="shared" si="23"/>
        <v>#N/A</v>
      </c>
    </row>
    <row r="828" spans="30:32" x14ac:dyDescent="0.25">
      <c r="AD828" t="e">
        <f>VLOOKUP(B828,COHVPI!A:N,14,0)</f>
        <v>#N/A</v>
      </c>
      <c r="AE828" s="95" t="e">
        <f>VLOOKUP(B828,COHVPI!A:E,5,0)</f>
        <v>#N/A</v>
      </c>
      <c r="AF828" s="95" t="e">
        <f t="shared" si="23"/>
        <v>#N/A</v>
      </c>
    </row>
    <row r="829" spans="30:32" x14ac:dyDescent="0.25">
      <c r="AD829" t="e">
        <f>VLOOKUP(B829,COHVPI!A:N,14,0)</f>
        <v>#N/A</v>
      </c>
      <c r="AE829" s="95" t="e">
        <f>VLOOKUP(B829,COHVPI!A:E,5,0)</f>
        <v>#N/A</v>
      </c>
      <c r="AF829" s="95" t="e">
        <f t="shared" si="23"/>
        <v>#N/A</v>
      </c>
    </row>
    <row r="830" spans="30:32" x14ac:dyDescent="0.25">
      <c r="AD830" t="e">
        <f>VLOOKUP(B830,COHVPI!A:N,14,0)</f>
        <v>#N/A</v>
      </c>
      <c r="AE830" s="95" t="e">
        <f>VLOOKUP(B830,COHVPI!A:E,5,0)</f>
        <v>#N/A</v>
      </c>
      <c r="AF830" s="95" t="e">
        <f t="shared" si="23"/>
        <v>#N/A</v>
      </c>
    </row>
    <row r="831" spans="30:32" x14ac:dyDescent="0.25">
      <c r="AD831" t="e">
        <f>VLOOKUP(B831,COHVPI!A:N,14,0)</f>
        <v>#N/A</v>
      </c>
      <c r="AE831" s="95" t="e">
        <f>VLOOKUP(B831,COHVPI!A:E,5,0)</f>
        <v>#N/A</v>
      </c>
      <c r="AF831" s="95" t="e">
        <f t="shared" si="23"/>
        <v>#N/A</v>
      </c>
    </row>
    <row r="832" spans="30:32" x14ac:dyDescent="0.25">
      <c r="AD832" t="e">
        <f>VLOOKUP(B832,COHVPI!A:N,14,0)</f>
        <v>#N/A</v>
      </c>
      <c r="AE832" s="95" t="e">
        <f>VLOOKUP(B832,COHVPI!A:E,5,0)</f>
        <v>#N/A</v>
      </c>
      <c r="AF832" s="95" t="e">
        <f t="shared" si="23"/>
        <v>#N/A</v>
      </c>
    </row>
    <row r="833" spans="30:32" x14ac:dyDescent="0.25">
      <c r="AD833" t="e">
        <f>VLOOKUP(B833,COHVPI!A:N,14,0)</f>
        <v>#N/A</v>
      </c>
      <c r="AE833" s="95" t="e">
        <f>VLOOKUP(B833,COHVPI!A:E,5,0)</f>
        <v>#N/A</v>
      </c>
      <c r="AF833" s="95" t="e">
        <f t="shared" si="23"/>
        <v>#N/A</v>
      </c>
    </row>
    <row r="834" spans="30:32" x14ac:dyDescent="0.25">
      <c r="AD834" t="e">
        <f>VLOOKUP(B834,COHVPI!A:N,14,0)</f>
        <v>#N/A</v>
      </c>
      <c r="AE834" s="95" t="e">
        <f>VLOOKUP(B834,COHVPI!A:E,5,0)</f>
        <v>#N/A</v>
      </c>
      <c r="AF834" s="95" t="e">
        <f t="shared" si="23"/>
        <v>#N/A</v>
      </c>
    </row>
    <row r="835" spans="30:32" x14ac:dyDescent="0.25">
      <c r="AD835" t="e">
        <f>VLOOKUP(B835,COHVPI!A:N,14,0)</f>
        <v>#N/A</v>
      </c>
      <c r="AE835" s="95" t="e">
        <f>VLOOKUP(B835,COHVPI!A:E,5,0)</f>
        <v>#N/A</v>
      </c>
      <c r="AF835" s="95" t="e">
        <f t="shared" si="23"/>
        <v>#N/A</v>
      </c>
    </row>
    <row r="836" spans="30:32" x14ac:dyDescent="0.25">
      <c r="AD836" t="e">
        <f>VLOOKUP(B836,COHVPI!A:N,14,0)</f>
        <v>#N/A</v>
      </c>
      <c r="AE836" s="95" t="e">
        <f>VLOOKUP(B836,COHVPI!A:E,5,0)</f>
        <v>#N/A</v>
      </c>
      <c r="AF836" s="95" t="e">
        <f t="shared" si="23"/>
        <v>#N/A</v>
      </c>
    </row>
    <row r="837" spans="30:32" x14ac:dyDescent="0.25">
      <c r="AD837" t="e">
        <f>VLOOKUP(B837,COHVPI!A:N,14,0)</f>
        <v>#N/A</v>
      </c>
      <c r="AE837" s="95" t="e">
        <f>VLOOKUP(B837,COHVPI!A:E,5,0)</f>
        <v>#N/A</v>
      </c>
      <c r="AF837" s="95" t="e">
        <f t="shared" si="23"/>
        <v>#N/A</v>
      </c>
    </row>
    <row r="838" spans="30:32" x14ac:dyDescent="0.25">
      <c r="AD838" t="e">
        <f>VLOOKUP(B838,COHVPI!A:N,14,0)</f>
        <v>#N/A</v>
      </c>
      <c r="AE838" s="95" t="e">
        <f>VLOOKUP(B838,COHVPI!A:E,5,0)</f>
        <v>#N/A</v>
      </c>
      <c r="AF838" s="95" t="e">
        <f t="shared" si="23"/>
        <v>#N/A</v>
      </c>
    </row>
    <row r="839" spans="30:32" x14ac:dyDescent="0.25">
      <c r="AD839" t="e">
        <f>VLOOKUP(B839,COHVPI!A:N,14,0)</f>
        <v>#N/A</v>
      </c>
      <c r="AE839" s="95" t="e">
        <f>VLOOKUP(B839,COHVPI!A:E,5,0)</f>
        <v>#N/A</v>
      </c>
      <c r="AF839" s="95" t="e">
        <f t="shared" si="23"/>
        <v>#N/A</v>
      </c>
    </row>
    <row r="840" spans="30:32" x14ac:dyDescent="0.25">
      <c r="AD840" t="e">
        <f>VLOOKUP(B840,COHVPI!A:N,14,0)</f>
        <v>#N/A</v>
      </c>
      <c r="AE840" s="95" t="e">
        <f>VLOOKUP(B840,COHVPI!A:E,5,0)</f>
        <v>#N/A</v>
      </c>
      <c r="AF840" s="95" t="e">
        <f t="shared" si="23"/>
        <v>#N/A</v>
      </c>
    </row>
    <row r="841" spans="30:32" x14ac:dyDescent="0.25">
      <c r="AD841" t="e">
        <f>VLOOKUP(B841,COHVPI!A:N,14,0)</f>
        <v>#N/A</v>
      </c>
      <c r="AE841" s="95" t="e">
        <f>VLOOKUP(B841,COHVPI!A:E,5,0)</f>
        <v>#N/A</v>
      </c>
      <c r="AF841" s="95" t="e">
        <f t="shared" si="23"/>
        <v>#N/A</v>
      </c>
    </row>
    <row r="842" spans="30:32" x14ac:dyDescent="0.25">
      <c r="AD842" t="e">
        <f>VLOOKUP(B842,COHVPI!A:N,14,0)</f>
        <v>#N/A</v>
      </c>
      <c r="AE842" s="95" t="e">
        <f>VLOOKUP(B842,COHVPI!A:E,5,0)</f>
        <v>#N/A</v>
      </c>
      <c r="AF842" s="95" t="e">
        <f t="shared" si="23"/>
        <v>#N/A</v>
      </c>
    </row>
    <row r="843" spans="30:32" x14ac:dyDescent="0.25">
      <c r="AD843" t="e">
        <f>VLOOKUP(B843,COHVPI!A:N,14,0)</f>
        <v>#N/A</v>
      </c>
      <c r="AE843" s="95" t="e">
        <f>VLOOKUP(B843,COHVPI!A:E,5,0)</f>
        <v>#N/A</v>
      </c>
      <c r="AF843" s="95" t="e">
        <f t="shared" si="23"/>
        <v>#N/A</v>
      </c>
    </row>
    <row r="844" spans="30:32" x14ac:dyDescent="0.25">
      <c r="AD844" t="e">
        <f>VLOOKUP(B844,COHVPI!A:N,14,0)</f>
        <v>#N/A</v>
      </c>
      <c r="AE844" s="95" t="e">
        <f>VLOOKUP(B844,COHVPI!A:E,5,0)</f>
        <v>#N/A</v>
      </c>
      <c r="AF844" s="95" t="e">
        <f t="shared" si="23"/>
        <v>#N/A</v>
      </c>
    </row>
    <row r="845" spans="30:32" x14ac:dyDescent="0.25">
      <c r="AD845" t="e">
        <f>VLOOKUP(B845,COHVPI!A:N,14,0)</f>
        <v>#N/A</v>
      </c>
      <c r="AE845" s="95" t="e">
        <f>VLOOKUP(B845,COHVPI!A:E,5,0)</f>
        <v>#N/A</v>
      </c>
      <c r="AF845" s="95" t="e">
        <f t="shared" si="23"/>
        <v>#N/A</v>
      </c>
    </row>
    <row r="846" spans="30:32" x14ac:dyDescent="0.25">
      <c r="AD846" t="e">
        <f>VLOOKUP(B846,COHVPI!A:N,14,0)</f>
        <v>#N/A</v>
      </c>
      <c r="AE846" s="95" t="e">
        <f>VLOOKUP(B846,COHVPI!A:E,5,0)</f>
        <v>#N/A</v>
      </c>
      <c r="AF846" s="95" t="e">
        <f t="shared" si="23"/>
        <v>#N/A</v>
      </c>
    </row>
    <row r="847" spans="30:32" x14ac:dyDescent="0.25">
      <c r="AD847" t="e">
        <f>VLOOKUP(B847,COHVPI!A:N,14,0)</f>
        <v>#N/A</v>
      </c>
      <c r="AE847" s="95" t="e">
        <f>VLOOKUP(B847,COHVPI!A:E,5,0)</f>
        <v>#N/A</v>
      </c>
      <c r="AF847" s="95" t="e">
        <f t="shared" si="23"/>
        <v>#N/A</v>
      </c>
    </row>
    <row r="848" spans="30:32" x14ac:dyDescent="0.25">
      <c r="AD848" t="e">
        <f>VLOOKUP(B848,COHVPI!A:N,14,0)</f>
        <v>#N/A</v>
      </c>
      <c r="AE848" s="95" t="e">
        <f>VLOOKUP(B848,COHVPI!A:E,5,0)</f>
        <v>#N/A</v>
      </c>
      <c r="AF848" s="95" t="e">
        <f t="shared" si="23"/>
        <v>#N/A</v>
      </c>
    </row>
    <row r="849" spans="30:32" x14ac:dyDescent="0.25">
      <c r="AD849" t="e">
        <f>VLOOKUP(B849,COHVPI!A:N,14,0)</f>
        <v>#N/A</v>
      </c>
      <c r="AE849" s="95" t="e">
        <f>VLOOKUP(B849,COHVPI!A:E,5,0)</f>
        <v>#N/A</v>
      </c>
      <c r="AF849" s="95" t="e">
        <f t="shared" ref="AF849:AF912" si="24">AE849-D849</f>
        <v>#N/A</v>
      </c>
    </row>
    <row r="850" spans="30:32" x14ac:dyDescent="0.25">
      <c r="AD850" t="e">
        <f>VLOOKUP(B850,COHVPI!A:N,14,0)</f>
        <v>#N/A</v>
      </c>
      <c r="AE850" s="95" t="e">
        <f>VLOOKUP(B850,COHVPI!A:E,5,0)</f>
        <v>#N/A</v>
      </c>
      <c r="AF850" s="95" t="e">
        <f t="shared" si="24"/>
        <v>#N/A</v>
      </c>
    </row>
    <row r="851" spans="30:32" x14ac:dyDescent="0.25">
      <c r="AD851" t="e">
        <f>VLOOKUP(B851,COHVPI!A:N,14,0)</f>
        <v>#N/A</v>
      </c>
      <c r="AE851" s="95" t="e">
        <f>VLOOKUP(B851,COHVPI!A:E,5,0)</f>
        <v>#N/A</v>
      </c>
      <c r="AF851" s="95" t="e">
        <f t="shared" si="24"/>
        <v>#N/A</v>
      </c>
    </row>
    <row r="852" spans="30:32" x14ac:dyDescent="0.25">
      <c r="AD852" t="e">
        <f>VLOOKUP(B852,COHVPI!A:N,14,0)</f>
        <v>#N/A</v>
      </c>
      <c r="AE852" s="95" t="e">
        <f>VLOOKUP(B852,COHVPI!A:E,5,0)</f>
        <v>#N/A</v>
      </c>
      <c r="AF852" s="95" t="e">
        <f t="shared" si="24"/>
        <v>#N/A</v>
      </c>
    </row>
    <row r="853" spans="30:32" x14ac:dyDescent="0.25">
      <c r="AD853" t="e">
        <f>VLOOKUP(B853,COHVPI!A:N,14,0)</f>
        <v>#N/A</v>
      </c>
      <c r="AE853" s="95" t="e">
        <f>VLOOKUP(B853,COHVPI!A:E,5,0)</f>
        <v>#N/A</v>
      </c>
      <c r="AF853" s="95" t="e">
        <f t="shared" si="24"/>
        <v>#N/A</v>
      </c>
    </row>
    <row r="854" spans="30:32" x14ac:dyDescent="0.25">
      <c r="AD854" t="e">
        <f>VLOOKUP(B854,COHVPI!A:N,14,0)</f>
        <v>#N/A</v>
      </c>
      <c r="AE854" s="95" t="e">
        <f>VLOOKUP(B854,COHVPI!A:E,5,0)</f>
        <v>#N/A</v>
      </c>
      <c r="AF854" s="95" t="e">
        <f t="shared" si="24"/>
        <v>#N/A</v>
      </c>
    </row>
    <row r="855" spans="30:32" x14ac:dyDescent="0.25">
      <c r="AD855" t="e">
        <f>VLOOKUP(B855,COHVPI!A:N,14,0)</f>
        <v>#N/A</v>
      </c>
      <c r="AE855" s="95" t="e">
        <f>VLOOKUP(B855,COHVPI!A:E,5,0)</f>
        <v>#N/A</v>
      </c>
      <c r="AF855" s="95" t="e">
        <f t="shared" si="24"/>
        <v>#N/A</v>
      </c>
    </row>
    <row r="856" spans="30:32" x14ac:dyDescent="0.25">
      <c r="AD856" t="e">
        <f>VLOOKUP(B856,COHVPI!A:N,14,0)</f>
        <v>#N/A</v>
      </c>
      <c r="AE856" s="95" t="e">
        <f>VLOOKUP(B856,COHVPI!A:E,5,0)</f>
        <v>#N/A</v>
      </c>
      <c r="AF856" s="95" t="e">
        <f t="shared" si="24"/>
        <v>#N/A</v>
      </c>
    </row>
    <row r="857" spans="30:32" x14ac:dyDescent="0.25">
      <c r="AD857" t="e">
        <f>VLOOKUP(B857,COHVPI!A:N,14,0)</f>
        <v>#N/A</v>
      </c>
      <c r="AE857" s="95" t="e">
        <f>VLOOKUP(B857,COHVPI!A:E,5,0)</f>
        <v>#N/A</v>
      </c>
      <c r="AF857" s="95" t="e">
        <f t="shared" si="24"/>
        <v>#N/A</v>
      </c>
    </row>
    <row r="858" spans="30:32" x14ac:dyDescent="0.25">
      <c r="AD858" t="e">
        <f>VLOOKUP(B858,COHVPI!A:N,14,0)</f>
        <v>#N/A</v>
      </c>
      <c r="AE858" s="95" t="e">
        <f>VLOOKUP(B858,COHVPI!A:E,5,0)</f>
        <v>#N/A</v>
      </c>
      <c r="AF858" s="95" t="e">
        <f t="shared" si="24"/>
        <v>#N/A</v>
      </c>
    </row>
    <row r="859" spans="30:32" x14ac:dyDescent="0.25">
      <c r="AD859" t="e">
        <f>VLOOKUP(B859,COHVPI!A:N,14,0)</f>
        <v>#N/A</v>
      </c>
      <c r="AE859" s="95" t="e">
        <f>VLOOKUP(B859,COHVPI!A:E,5,0)</f>
        <v>#N/A</v>
      </c>
      <c r="AF859" s="95" t="e">
        <f t="shared" si="24"/>
        <v>#N/A</v>
      </c>
    </row>
    <row r="860" spans="30:32" x14ac:dyDescent="0.25">
      <c r="AD860" t="e">
        <f>VLOOKUP(B860,COHVPI!A:N,14,0)</f>
        <v>#N/A</v>
      </c>
      <c r="AE860" s="95" t="e">
        <f>VLOOKUP(B860,COHVPI!A:E,5,0)</f>
        <v>#N/A</v>
      </c>
      <c r="AF860" s="95" t="e">
        <f t="shared" si="24"/>
        <v>#N/A</v>
      </c>
    </row>
    <row r="861" spans="30:32" x14ac:dyDescent="0.25">
      <c r="AD861" t="e">
        <f>VLOOKUP(B861,COHVPI!A:N,14,0)</f>
        <v>#N/A</v>
      </c>
      <c r="AE861" s="95" t="e">
        <f>VLOOKUP(B861,COHVPI!A:E,5,0)</f>
        <v>#N/A</v>
      </c>
      <c r="AF861" s="95" t="e">
        <f t="shared" si="24"/>
        <v>#N/A</v>
      </c>
    </row>
    <row r="862" spans="30:32" x14ac:dyDescent="0.25">
      <c r="AD862" t="e">
        <f>VLOOKUP(B862,COHVPI!A:N,14,0)</f>
        <v>#N/A</v>
      </c>
      <c r="AE862" s="95" t="e">
        <f>VLOOKUP(B862,COHVPI!A:E,5,0)</f>
        <v>#N/A</v>
      </c>
      <c r="AF862" s="95" t="e">
        <f t="shared" si="24"/>
        <v>#N/A</v>
      </c>
    </row>
    <row r="863" spans="30:32" x14ac:dyDescent="0.25">
      <c r="AD863" t="e">
        <f>VLOOKUP(B863,COHVPI!A:N,14,0)</f>
        <v>#N/A</v>
      </c>
      <c r="AE863" s="95" t="e">
        <f>VLOOKUP(B863,COHVPI!A:E,5,0)</f>
        <v>#N/A</v>
      </c>
      <c r="AF863" s="95" t="e">
        <f t="shared" si="24"/>
        <v>#N/A</v>
      </c>
    </row>
    <row r="864" spans="30:32" x14ac:dyDescent="0.25">
      <c r="AD864" t="e">
        <f>VLOOKUP(B864,COHVPI!A:N,14,0)</f>
        <v>#N/A</v>
      </c>
      <c r="AE864" s="95" t="e">
        <f>VLOOKUP(B864,COHVPI!A:E,5,0)</f>
        <v>#N/A</v>
      </c>
      <c r="AF864" s="95" t="e">
        <f t="shared" si="24"/>
        <v>#N/A</v>
      </c>
    </row>
    <row r="865" spans="30:32" x14ac:dyDescent="0.25">
      <c r="AD865" t="e">
        <f>VLOOKUP(B865,COHVPI!A:N,14,0)</f>
        <v>#N/A</v>
      </c>
      <c r="AE865" s="95" t="e">
        <f>VLOOKUP(B865,COHVPI!A:E,5,0)</f>
        <v>#N/A</v>
      </c>
      <c r="AF865" s="95" t="e">
        <f t="shared" si="24"/>
        <v>#N/A</v>
      </c>
    </row>
    <row r="866" spans="30:32" x14ac:dyDescent="0.25">
      <c r="AD866" t="e">
        <f>VLOOKUP(B866,COHVPI!A:N,14,0)</f>
        <v>#N/A</v>
      </c>
      <c r="AE866" s="95" t="e">
        <f>VLOOKUP(B866,COHVPI!A:E,5,0)</f>
        <v>#N/A</v>
      </c>
      <c r="AF866" s="95" t="e">
        <f t="shared" si="24"/>
        <v>#N/A</v>
      </c>
    </row>
    <row r="867" spans="30:32" x14ac:dyDescent="0.25">
      <c r="AD867" t="e">
        <f>VLOOKUP(B867,COHVPI!A:N,14,0)</f>
        <v>#N/A</v>
      </c>
      <c r="AE867" s="95" t="e">
        <f>VLOOKUP(B867,COHVPI!A:E,5,0)</f>
        <v>#N/A</v>
      </c>
      <c r="AF867" s="95" t="e">
        <f t="shared" si="24"/>
        <v>#N/A</v>
      </c>
    </row>
    <row r="868" spans="30:32" x14ac:dyDescent="0.25">
      <c r="AD868" t="e">
        <f>VLOOKUP(B868,COHVPI!A:N,14,0)</f>
        <v>#N/A</v>
      </c>
      <c r="AE868" s="95" t="e">
        <f>VLOOKUP(B868,COHVPI!A:E,5,0)</f>
        <v>#N/A</v>
      </c>
      <c r="AF868" s="95" t="e">
        <f t="shared" si="24"/>
        <v>#N/A</v>
      </c>
    </row>
    <row r="869" spans="30:32" x14ac:dyDescent="0.25">
      <c r="AD869" t="e">
        <f>VLOOKUP(B869,COHVPI!A:N,14,0)</f>
        <v>#N/A</v>
      </c>
      <c r="AE869" s="95" t="e">
        <f>VLOOKUP(B869,COHVPI!A:E,5,0)</f>
        <v>#N/A</v>
      </c>
      <c r="AF869" s="95" t="e">
        <f t="shared" si="24"/>
        <v>#N/A</v>
      </c>
    </row>
    <row r="870" spans="30:32" x14ac:dyDescent="0.25">
      <c r="AD870" t="e">
        <f>VLOOKUP(B870,COHVPI!A:N,14,0)</f>
        <v>#N/A</v>
      </c>
      <c r="AE870" s="95" t="e">
        <f>VLOOKUP(B870,COHVPI!A:E,5,0)</f>
        <v>#N/A</v>
      </c>
      <c r="AF870" s="95" t="e">
        <f t="shared" si="24"/>
        <v>#N/A</v>
      </c>
    </row>
    <row r="871" spans="30:32" x14ac:dyDescent="0.25">
      <c r="AD871" t="e">
        <f>VLOOKUP(B871,COHVPI!A:N,14,0)</f>
        <v>#N/A</v>
      </c>
      <c r="AE871" s="95" t="e">
        <f>VLOOKUP(B871,COHVPI!A:E,5,0)</f>
        <v>#N/A</v>
      </c>
      <c r="AF871" s="95" t="e">
        <f t="shared" si="24"/>
        <v>#N/A</v>
      </c>
    </row>
    <row r="872" spans="30:32" x14ac:dyDescent="0.25">
      <c r="AD872" t="e">
        <f>VLOOKUP(B872,COHVPI!A:N,14,0)</f>
        <v>#N/A</v>
      </c>
      <c r="AE872" s="95" t="e">
        <f>VLOOKUP(B872,COHVPI!A:E,5,0)</f>
        <v>#N/A</v>
      </c>
      <c r="AF872" s="95" t="e">
        <f t="shared" si="24"/>
        <v>#N/A</v>
      </c>
    </row>
    <row r="873" spans="30:32" x14ac:dyDescent="0.25">
      <c r="AD873" t="e">
        <f>VLOOKUP(B873,COHVPI!A:N,14,0)</f>
        <v>#N/A</v>
      </c>
      <c r="AE873" s="95" t="e">
        <f>VLOOKUP(B873,COHVPI!A:E,5,0)</f>
        <v>#N/A</v>
      </c>
      <c r="AF873" s="95" t="e">
        <f t="shared" si="24"/>
        <v>#N/A</v>
      </c>
    </row>
    <row r="874" spans="30:32" x14ac:dyDescent="0.25">
      <c r="AD874" t="e">
        <f>VLOOKUP(B874,COHVPI!A:N,14,0)</f>
        <v>#N/A</v>
      </c>
      <c r="AE874" s="95" t="e">
        <f>VLOOKUP(B874,COHVPI!A:E,5,0)</f>
        <v>#N/A</v>
      </c>
      <c r="AF874" s="95" t="e">
        <f t="shared" si="24"/>
        <v>#N/A</v>
      </c>
    </row>
    <row r="875" spans="30:32" x14ac:dyDescent="0.25">
      <c r="AD875" t="e">
        <f>VLOOKUP(B875,COHVPI!A:N,14,0)</f>
        <v>#N/A</v>
      </c>
      <c r="AE875" s="95" t="e">
        <f>VLOOKUP(B875,COHVPI!A:E,5,0)</f>
        <v>#N/A</v>
      </c>
      <c r="AF875" s="95" t="e">
        <f t="shared" si="24"/>
        <v>#N/A</v>
      </c>
    </row>
    <row r="876" spans="30:32" x14ac:dyDescent="0.25">
      <c r="AD876" t="e">
        <f>VLOOKUP(B876,COHVPI!A:N,14,0)</f>
        <v>#N/A</v>
      </c>
      <c r="AE876" s="95" t="e">
        <f>VLOOKUP(B876,COHVPI!A:E,5,0)</f>
        <v>#N/A</v>
      </c>
      <c r="AF876" s="95" t="e">
        <f t="shared" si="24"/>
        <v>#N/A</v>
      </c>
    </row>
    <row r="877" spans="30:32" x14ac:dyDescent="0.25">
      <c r="AD877" t="e">
        <f>VLOOKUP(B877,COHVPI!A:N,14,0)</f>
        <v>#N/A</v>
      </c>
      <c r="AE877" s="95" t="e">
        <f>VLOOKUP(B877,COHVPI!A:E,5,0)</f>
        <v>#N/A</v>
      </c>
      <c r="AF877" s="95" t="e">
        <f t="shared" si="24"/>
        <v>#N/A</v>
      </c>
    </row>
    <row r="878" spans="30:32" x14ac:dyDescent="0.25">
      <c r="AD878" t="e">
        <f>VLOOKUP(B878,COHVPI!A:N,14,0)</f>
        <v>#N/A</v>
      </c>
      <c r="AE878" s="95" t="e">
        <f>VLOOKUP(B878,COHVPI!A:E,5,0)</f>
        <v>#N/A</v>
      </c>
      <c r="AF878" s="95" t="e">
        <f t="shared" si="24"/>
        <v>#N/A</v>
      </c>
    </row>
    <row r="879" spans="30:32" x14ac:dyDescent="0.25">
      <c r="AD879" t="e">
        <f>VLOOKUP(B879,COHVPI!A:N,14,0)</f>
        <v>#N/A</v>
      </c>
      <c r="AE879" s="95" t="e">
        <f>VLOOKUP(B879,COHVPI!A:E,5,0)</f>
        <v>#N/A</v>
      </c>
      <c r="AF879" s="95" t="e">
        <f t="shared" si="24"/>
        <v>#N/A</v>
      </c>
    </row>
    <row r="880" spans="30:32" x14ac:dyDescent="0.25">
      <c r="AD880" t="e">
        <f>VLOOKUP(B880,COHVPI!A:N,14,0)</f>
        <v>#N/A</v>
      </c>
      <c r="AE880" s="95" t="e">
        <f>VLOOKUP(B880,COHVPI!A:E,5,0)</f>
        <v>#N/A</v>
      </c>
      <c r="AF880" s="95" t="e">
        <f t="shared" si="24"/>
        <v>#N/A</v>
      </c>
    </row>
    <row r="881" spans="30:32" x14ac:dyDescent="0.25">
      <c r="AD881" t="e">
        <f>VLOOKUP(B881,COHVPI!A:N,14,0)</f>
        <v>#N/A</v>
      </c>
      <c r="AE881" s="95" t="e">
        <f>VLOOKUP(B881,COHVPI!A:E,5,0)</f>
        <v>#N/A</v>
      </c>
      <c r="AF881" s="95" t="e">
        <f t="shared" si="24"/>
        <v>#N/A</v>
      </c>
    </row>
    <row r="882" spans="30:32" x14ac:dyDescent="0.25">
      <c r="AD882" t="e">
        <f>VLOOKUP(B882,COHVPI!A:N,14,0)</f>
        <v>#N/A</v>
      </c>
      <c r="AE882" s="95" t="e">
        <f>VLOOKUP(B882,COHVPI!A:E,5,0)</f>
        <v>#N/A</v>
      </c>
      <c r="AF882" s="95" t="e">
        <f t="shared" si="24"/>
        <v>#N/A</v>
      </c>
    </row>
    <row r="883" spans="30:32" x14ac:dyDescent="0.25">
      <c r="AD883" t="e">
        <f>VLOOKUP(B883,COHVPI!A:N,14,0)</f>
        <v>#N/A</v>
      </c>
      <c r="AE883" s="95" t="e">
        <f>VLOOKUP(B883,COHVPI!A:E,5,0)</f>
        <v>#N/A</v>
      </c>
      <c r="AF883" s="95" t="e">
        <f t="shared" si="24"/>
        <v>#N/A</v>
      </c>
    </row>
    <row r="884" spans="30:32" x14ac:dyDescent="0.25">
      <c r="AD884" t="e">
        <f>VLOOKUP(B884,COHVPI!A:N,14,0)</f>
        <v>#N/A</v>
      </c>
      <c r="AE884" s="95" t="e">
        <f>VLOOKUP(B884,COHVPI!A:E,5,0)</f>
        <v>#N/A</v>
      </c>
      <c r="AF884" s="95" t="e">
        <f t="shared" si="24"/>
        <v>#N/A</v>
      </c>
    </row>
    <row r="885" spans="30:32" x14ac:dyDescent="0.25">
      <c r="AD885" t="e">
        <f>VLOOKUP(B885,COHVPI!A:N,14,0)</f>
        <v>#N/A</v>
      </c>
      <c r="AE885" s="95" t="e">
        <f>VLOOKUP(B885,COHVPI!A:E,5,0)</f>
        <v>#N/A</v>
      </c>
      <c r="AF885" s="95" t="e">
        <f t="shared" si="24"/>
        <v>#N/A</v>
      </c>
    </row>
    <row r="886" spans="30:32" x14ac:dyDescent="0.25">
      <c r="AD886" t="e">
        <f>VLOOKUP(B886,COHVPI!A:N,14,0)</f>
        <v>#N/A</v>
      </c>
      <c r="AE886" s="95" t="e">
        <f>VLOOKUP(B886,COHVPI!A:E,5,0)</f>
        <v>#N/A</v>
      </c>
      <c r="AF886" s="95" t="e">
        <f t="shared" si="24"/>
        <v>#N/A</v>
      </c>
    </row>
    <row r="887" spans="30:32" x14ac:dyDescent="0.25">
      <c r="AD887" t="e">
        <f>VLOOKUP(B887,COHVPI!A:N,14,0)</f>
        <v>#N/A</v>
      </c>
      <c r="AE887" s="95" t="e">
        <f>VLOOKUP(B887,COHVPI!A:E,5,0)</f>
        <v>#N/A</v>
      </c>
      <c r="AF887" s="95" t="e">
        <f t="shared" si="24"/>
        <v>#N/A</v>
      </c>
    </row>
    <row r="888" spans="30:32" x14ac:dyDescent="0.25">
      <c r="AD888" t="e">
        <f>VLOOKUP(B888,COHVPI!A:N,14,0)</f>
        <v>#N/A</v>
      </c>
      <c r="AE888" s="95" t="e">
        <f>VLOOKUP(B888,COHVPI!A:E,5,0)</f>
        <v>#N/A</v>
      </c>
      <c r="AF888" s="95" t="e">
        <f t="shared" si="24"/>
        <v>#N/A</v>
      </c>
    </row>
    <row r="889" spans="30:32" x14ac:dyDescent="0.25">
      <c r="AD889" t="e">
        <f>VLOOKUP(B889,COHVPI!A:N,14,0)</f>
        <v>#N/A</v>
      </c>
      <c r="AE889" s="95" t="e">
        <f>VLOOKUP(B889,COHVPI!A:E,5,0)</f>
        <v>#N/A</v>
      </c>
      <c r="AF889" s="95" t="e">
        <f t="shared" si="24"/>
        <v>#N/A</v>
      </c>
    </row>
  </sheetData>
  <mergeCells count="253">
    <mergeCell ref="X97:X100"/>
    <mergeCell ref="R101:R104"/>
    <mergeCell ref="S101:S104"/>
    <mergeCell ref="T101:T104"/>
    <mergeCell ref="U101:U104"/>
    <mergeCell ref="V101:V104"/>
    <mergeCell ref="W101:W104"/>
    <mergeCell ref="X101:X104"/>
    <mergeCell ref="S79:S81"/>
    <mergeCell ref="T79:T81"/>
    <mergeCell ref="U79:U81"/>
    <mergeCell ref="V79:V81"/>
    <mergeCell ref="W79:W81"/>
    <mergeCell ref="X79:X81"/>
    <mergeCell ref="R82:X82"/>
    <mergeCell ref="R92:X92"/>
    <mergeCell ref="R97:R100"/>
    <mergeCell ref="S97:S100"/>
    <mergeCell ref="T97:T100"/>
    <mergeCell ref="U97:U100"/>
    <mergeCell ref="V97:V100"/>
    <mergeCell ref="W97:W100"/>
    <mergeCell ref="R87:R90"/>
    <mergeCell ref="S87:S90"/>
    <mergeCell ref="T87:T90"/>
    <mergeCell ref="U87:U90"/>
    <mergeCell ref="V87:V90"/>
    <mergeCell ref="W87:W90"/>
    <mergeCell ref="X87:X90"/>
    <mergeCell ref="V75:V78"/>
    <mergeCell ref="W75:W78"/>
    <mergeCell ref="S83:S86"/>
    <mergeCell ref="T83:T86"/>
    <mergeCell ref="U83:U86"/>
    <mergeCell ref="V83:V86"/>
    <mergeCell ref="R83:R86"/>
    <mergeCell ref="S75:S78"/>
    <mergeCell ref="T75:T78"/>
    <mergeCell ref="W83:W86"/>
    <mergeCell ref="X83:X86"/>
    <mergeCell ref="R66:X66"/>
    <mergeCell ref="R67:R70"/>
    <mergeCell ref="S67:S70"/>
    <mergeCell ref="T67:T70"/>
    <mergeCell ref="A2:P2"/>
    <mergeCell ref="R2:X2"/>
    <mergeCell ref="A52:P52"/>
    <mergeCell ref="R52:X52"/>
    <mergeCell ref="A56:P56"/>
    <mergeCell ref="R56:X56"/>
    <mergeCell ref="A60:P60"/>
    <mergeCell ref="R60:X60"/>
    <mergeCell ref="A184:P184"/>
    <mergeCell ref="A155:P155"/>
    <mergeCell ref="R155:X155"/>
    <mergeCell ref="A171:P171"/>
    <mergeCell ref="A179:P179"/>
    <mergeCell ref="A165:P165"/>
    <mergeCell ref="R165:X165"/>
    <mergeCell ref="A107:P107"/>
    <mergeCell ref="R107:X107"/>
    <mergeCell ref="A135:P135"/>
    <mergeCell ref="R135:X135"/>
    <mergeCell ref="R171:X171"/>
    <mergeCell ref="R137:R138"/>
    <mergeCell ref="S137:S138"/>
    <mergeCell ref="R12:R15"/>
    <mergeCell ref="S12:S15"/>
    <mergeCell ref="T12:T15"/>
    <mergeCell ref="U12:U15"/>
    <mergeCell ref="V12:V15"/>
    <mergeCell ref="W12:W15"/>
    <mergeCell ref="X12:X15"/>
    <mergeCell ref="R16:X16"/>
    <mergeCell ref="W8:W11"/>
    <mergeCell ref="X8:X11"/>
    <mergeCell ref="S4:S7"/>
    <mergeCell ref="T4:T7"/>
    <mergeCell ref="U4:U7"/>
    <mergeCell ref="V4:V7"/>
    <mergeCell ref="W4:W7"/>
    <mergeCell ref="X4:X7"/>
    <mergeCell ref="R8:R11"/>
    <mergeCell ref="S8:S11"/>
    <mergeCell ref="T8:T11"/>
    <mergeCell ref="U8:U11"/>
    <mergeCell ref="V8:V11"/>
    <mergeCell ref="R4:R7"/>
    <mergeCell ref="R26:R29"/>
    <mergeCell ref="S26:S29"/>
    <mergeCell ref="T26:T29"/>
    <mergeCell ref="U26:U29"/>
    <mergeCell ref="V26:V29"/>
    <mergeCell ref="W26:W29"/>
    <mergeCell ref="X26:X29"/>
    <mergeCell ref="R21:R25"/>
    <mergeCell ref="S21:S25"/>
    <mergeCell ref="T21:T25"/>
    <mergeCell ref="U21:U25"/>
    <mergeCell ref="V21:V25"/>
    <mergeCell ref="W21:W25"/>
    <mergeCell ref="X21:X25"/>
    <mergeCell ref="R38:R41"/>
    <mergeCell ref="S38:S41"/>
    <mergeCell ref="T38:T41"/>
    <mergeCell ref="U38:U41"/>
    <mergeCell ref="V38:V41"/>
    <mergeCell ref="W38:W41"/>
    <mergeCell ref="X38:X41"/>
    <mergeCell ref="R30:R33"/>
    <mergeCell ref="S30:S33"/>
    <mergeCell ref="T30:T33"/>
    <mergeCell ref="U30:U33"/>
    <mergeCell ref="V30:V33"/>
    <mergeCell ref="W30:W33"/>
    <mergeCell ref="X30:X33"/>
    <mergeCell ref="R34:R37"/>
    <mergeCell ref="S34:S37"/>
    <mergeCell ref="T34:T37"/>
    <mergeCell ref="U34:U37"/>
    <mergeCell ref="V34:V37"/>
    <mergeCell ref="W34:W37"/>
    <mergeCell ref="X34:X37"/>
    <mergeCell ref="R42:R45"/>
    <mergeCell ref="S42:S45"/>
    <mergeCell ref="T42:T45"/>
    <mergeCell ref="U42:U45"/>
    <mergeCell ref="V42:V45"/>
    <mergeCell ref="W42:W45"/>
    <mergeCell ref="X42:X45"/>
    <mergeCell ref="R46:R49"/>
    <mergeCell ref="S46:S49"/>
    <mergeCell ref="T46:T49"/>
    <mergeCell ref="U46:U49"/>
    <mergeCell ref="V46:V49"/>
    <mergeCell ref="W46:W49"/>
    <mergeCell ref="X46:X49"/>
    <mergeCell ref="R62:R65"/>
    <mergeCell ref="S62:S65"/>
    <mergeCell ref="T62:T65"/>
    <mergeCell ref="U62:U65"/>
    <mergeCell ref="V62:V65"/>
    <mergeCell ref="W62:W65"/>
    <mergeCell ref="X62:X65"/>
    <mergeCell ref="X75:X78"/>
    <mergeCell ref="R79:R81"/>
    <mergeCell ref="U75:U78"/>
    <mergeCell ref="U67:U70"/>
    <mergeCell ref="V67:V70"/>
    <mergeCell ref="W67:W70"/>
    <mergeCell ref="X67:X70"/>
    <mergeCell ref="R71:R74"/>
    <mergeCell ref="S71:S74"/>
    <mergeCell ref="T71:T74"/>
    <mergeCell ref="U71:U74"/>
    <mergeCell ref="V71:V74"/>
    <mergeCell ref="W71:W74"/>
    <mergeCell ref="X71:X74"/>
    <mergeCell ref="R75:R78"/>
    <mergeCell ref="R93:R96"/>
    <mergeCell ref="S93:S96"/>
    <mergeCell ref="T93:T96"/>
    <mergeCell ref="U93:U96"/>
    <mergeCell ref="V93:V96"/>
    <mergeCell ref="W93:W96"/>
    <mergeCell ref="X93:X96"/>
    <mergeCell ref="W113:W115"/>
    <mergeCell ref="X113:X115"/>
    <mergeCell ref="R109:R112"/>
    <mergeCell ref="S109:S112"/>
    <mergeCell ref="T109:T112"/>
    <mergeCell ref="U109:U112"/>
    <mergeCell ref="V109:V112"/>
    <mergeCell ref="W109:W112"/>
    <mergeCell ref="X109:X112"/>
    <mergeCell ref="U117:U120"/>
    <mergeCell ref="V117:V120"/>
    <mergeCell ref="W117:W120"/>
    <mergeCell ref="X117:X120"/>
    <mergeCell ref="R116:X116"/>
    <mergeCell ref="R117:R120"/>
    <mergeCell ref="S117:S120"/>
    <mergeCell ref="T117:T120"/>
    <mergeCell ref="R113:R115"/>
    <mergeCell ref="S113:S115"/>
    <mergeCell ref="T113:T115"/>
    <mergeCell ref="U113:U115"/>
    <mergeCell ref="V113:V115"/>
    <mergeCell ref="R121:R124"/>
    <mergeCell ref="S121:S124"/>
    <mergeCell ref="T121:T124"/>
    <mergeCell ref="U121:U124"/>
    <mergeCell ref="V121:V124"/>
    <mergeCell ref="W121:W124"/>
    <mergeCell ref="X121:X124"/>
    <mergeCell ref="R125:R128"/>
    <mergeCell ref="S125:S128"/>
    <mergeCell ref="T125:T128"/>
    <mergeCell ref="U125:U128"/>
    <mergeCell ref="V125:V128"/>
    <mergeCell ref="W125:W128"/>
    <mergeCell ref="X125:X128"/>
    <mergeCell ref="R129:R132"/>
    <mergeCell ref="S129:S132"/>
    <mergeCell ref="T129:T132"/>
    <mergeCell ref="U129:U132"/>
    <mergeCell ref="V129:V132"/>
    <mergeCell ref="W129:W132"/>
    <mergeCell ref="X129:X132"/>
    <mergeCell ref="U137:U138"/>
    <mergeCell ref="V137:V138"/>
    <mergeCell ref="W137:W138"/>
    <mergeCell ref="X137:X138"/>
    <mergeCell ref="T137:T138"/>
    <mergeCell ref="R144:X144"/>
    <mergeCell ref="R139:X139"/>
    <mergeCell ref="R147:R148"/>
    <mergeCell ref="S147:S148"/>
    <mergeCell ref="T147:T148"/>
    <mergeCell ref="U147:U148"/>
    <mergeCell ref="V147:V148"/>
    <mergeCell ref="W147:W148"/>
    <mergeCell ref="X145:X146"/>
    <mergeCell ref="W145:W146"/>
    <mergeCell ref="V145:V146"/>
    <mergeCell ref="U145:U146"/>
    <mergeCell ref="T145:T146"/>
    <mergeCell ref="S145:S146"/>
    <mergeCell ref="R145:R146"/>
    <mergeCell ref="X149:X150"/>
    <mergeCell ref="R151:R152"/>
    <mergeCell ref="S151:S152"/>
    <mergeCell ref="T151:T152"/>
    <mergeCell ref="U151:U152"/>
    <mergeCell ref="V151:V152"/>
    <mergeCell ref="W151:W152"/>
    <mergeCell ref="X151:X152"/>
    <mergeCell ref="X147:X148"/>
    <mergeCell ref="R17:R20"/>
    <mergeCell ref="S17:S20"/>
    <mergeCell ref="T17:T20"/>
    <mergeCell ref="U17:U20"/>
    <mergeCell ref="V17:V20"/>
    <mergeCell ref="W17:W20"/>
    <mergeCell ref="X17:X20"/>
    <mergeCell ref="R168:X168"/>
    <mergeCell ref="R159:X159"/>
    <mergeCell ref="R149:R150"/>
    <mergeCell ref="S149:S150"/>
    <mergeCell ref="T149:T150"/>
    <mergeCell ref="U149:U150"/>
    <mergeCell ref="V149:V150"/>
    <mergeCell ref="W149:W150"/>
  </mergeCells>
  <phoneticPr fontId="25" type="noConversion"/>
  <conditionalFormatting sqref="A134">
    <cfRule type="duplicateValues" dxfId="217" priority="11413"/>
  </conditionalFormatting>
  <conditionalFormatting sqref="A154">
    <cfRule type="duplicateValues" dxfId="216" priority="1491"/>
  </conditionalFormatting>
  <conditionalFormatting sqref="A153:B153">
    <cfRule type="duplicateValues" dxfId="215" priority="4689"/>
  </conditionalFormatting>
  <conditionalFormatting sqref="A163:B163">
    <cfRule type="duplicateValues" dxfId="214" priority="31824"/>
  </conditionalFormatting>
  <conditionalFormatting sqref="A169:B169">
    <cfRule type="duplicateValues" dxfId="213" priority="4690"/>
  </conditionalFormatting>
  <conditionalFormatting sqref="A50:C50 A2">
    <cfRule type="duplicateValues" dxfId="212" priority="2815"/>
  </conditionalFormatting>
  <conditionalFormatting sqref="A58:C58">
    <cfRule type="duplicateValues" dxfId="211" priority="2614"/>
  </conditionalFormatting>
  <conditionalFormatting sqref="A219:C230 A231 C231 A232:C235 A184 A170:C170 A60 A107 A135 A155 A171 A179 A182:C183 A177:C178 A133:C133 A105:C105 A54:C54 A51:A52 A164:A165 A244:C1048576 A236:A243 C236:C243 A55:A56">
    <cfRule type="duplicateValues" dxfId="210" priority="11444"/>
  </conditionalFormatting>
  <conditionalFormatting sqref="A137:D138 AA137:AB138 F137:H138 J137:M138">
    <cfRule type="cellIs" dxfId="209" priority="295" operator="equal">
      <formula>"IMPRIMIR"</formula>
    </cfRule>
  </conditionalFormatting>
  <conditionalFormatting sqref="B4:B15">
    <cfRule type="duplicateValues" dxfId="208" priority="90145"/>
    <cfRule type="duplicateValues" dxfId="207" priority="90146"/>
  </conditionalFormatting>
  <conditionalFormatting sqref="B16">
    <cfRule type="duplicateValues" dxfId="206" priority="705"/>
    <cfRule type="duplicateValues" dxfId="205" priority="706"/>
  </conditionalFormatting>
  <conditionalFormatting sqref="B62:B65">
    <cfRule type="duplicateValues" dxfId="204" priority="90184"/>
    <cfRule type="duplicateValues" dxfId="203" priority="90185"/>
    <cfRule type="duplicateValues" dxfId="202" priority="90186"/>
  </conditionalFormatting>
  <conditionalFormatting sqref="B66">
    <cfRule type="duplicateValues" dxfId="201" priority="238"/>
    <cfRule type="duplicateValues" dxfId="200" priority="239"/>
  </conditionalFormatting>
  <conditionalFormatting sqref="B67:B81">
    <cfRule type="duplicateValues" dxfId="199" priority="89188"/>
    <cfRule type="duplicateValues" dxfId="198" priority="89189"/>
    <cfRule type="duplicateValues" dxfId="197" priority="89190"/>
  </conditionalFormatting>
  <conditionalFormatting sqref="B82">
    <cfRule type="duplicateValues" dxfId="196" priority="224"/>
    <cfRule type="duplicateValues" dxfId="195" priority="225"/>
  </conditionalFormatting>
  <conditionalFormatting sqref="B83:B91">
    <cfRule type="duplicateValues" dxfId="194" priority="90440"/>
    <cfRule type="duplicateValues" dxfId="193" priority="90441"/>
    <cfRule type="duplicateValues" dxfId="192" priority="90442"/>
  </conditionalFormatting>
  <conditionalFormatting sqref="B92">
    <cfRule type="duplicateValues" dxfId="191" priority="209"/>
    <cfRule type="duplicateValues" dxfId="190" priority="210"/>
  </conditionalFormatting>
  <conditionalFormatting sqref="B109:B111">
    <cfRule type="duplicateValues" dxfId="189" priority="246"/>
    <cfRule type="duplicateValues" dxfId="188" priority="86123"/>
  </conditionalFormatting>
  <conditionalFormatting sqref="B112:B115">
    <cfRule type="duplicateValues" dxfId="187" priority="87336"/>
    <cfRule type="duplicateValues" dxfId="186" priority="87337"/>
  </conditionalFormatting>
  <conditionalFormatting sqref="B116">
    <cfRule type="duplicateValues" dxfId="185" priority="397"/>
    <cfRule type="duplicateValues" dxfId="184" priority="398"/>
  </conditionalFormatting>
  <conditionalFormatting sqref="B137:B138">
    <cfRule type="duplicateValues" dxfId="183" priority="84094"/>
  </conditionalFormatting>
  <conditionalFormatting sqref="B139">
    <cfRule type="duplicateValues" dxfId="182" priority="145"/>
    <cfRule type="duplicateValues" dxfId="181" priority="146"/>
  </conditionalFormatting>
  <conditionalFormatting sqref="B144">
    <cfRule type="duplicateValues" dxfId="180" priority="712"/>
    <cfRule type="duplicateValues" dxfId="179" priority="713"/>
  </conditionalFormatting>
  <conditionalFormatting sqref="B159">
    <cfRule type="duplicateValues" dxfId="178" priority="331"/>
    <cfRule type="duplicateValues" dxfId="177" priority="332"/>
  </conditionalFormatting>
  <conditionalFormatting sqref="B168">
    <cfRule type="duplicateValues" dxfId="176" priority="321"/>
    <cfRule type="duplicateValues" dxfId="175" priority="322"/>
  </conditionalFormatting>
  <conditionalFormatting sqref="B181">
    <cfRule type="duplicateValues" dxfId="174" priority="766"/>
    <cfRule type="duplicateValues" dxfId="173" priority="767"/>
  </conditionalFormatting>
  <conditionalFormatting sqref="B232:B235 B244:B1048576 B3 B61 B50 B166 B136 B153 B105 B156 B172 B108 B133 B53:B54 B163:B164 B169:B170 B180 B182:B183 B57:B58 B177:B178 B185:B230">
    <cfRule type="duplicateValues" dxfId="172" priority="41190"/>
  </conditionalFormatting>
  <conditionalFormatting sqref="B244:B1048576 B3 B61 B50 B166 B136 B153 B105 B156 B172 B108 B133 B53:B54 B163:B164 B169:B170 B180 B182:B183 B57:B58 B177:B178 B185:B235">
    <cfRule type="duplicateValues" dxfId="171" priority="41214"/>
  </conditionalFormatting>
  <conditionalFormatting sqref="B4:C15">
    <cfRule type="duplicateValues" dxfId="170" priority="90147"/>
    <cfRule type="duplicateValues" dxfId="169" priority="90148"/>
  </conditionalFormatting>
  <conditionalFormatting sqref="B16:C16">
    <cfRule type="duplicateValues" dxfId="168" priority="704"/>
  </conditionalFormatting>
  <conditionalFormatting sqref="B17:C20">
    <cfRule type="duplicateValues" dxfId="167" priority="9"/>
    <cfRule type="duplicateValues" dxfId="166" priority="10"/>
  </conditionalFormatting>
  <conditionalFormatting sqref="B21:C25">
    <cfRule type="duplicateValues" dxfId="165" priority="685"/>
    <cfRule type="duplicateValues" dxfId="164" priority="686"/>
  </conditionalFormatting>
  <conditionalFormatting sqref="B62:C65">
    <cfRule type="duplicateValues" dxfId="163" priority="90230"/>
  </conditionalFormatting>
  <conditionalFormatting sqref="B66:C66">
    <cfRule type="duplicateValues" dxfId="162" priority="237"/>
  </conditionalFormatting>
  <conditionalFormatting sqref="B67:C81">
    <cfRule type="duplicateValues" dxfId="161" priority="89234"/>
  </conditionalFormatting>
  <conditionalFormatting sqref="B82:C82">
    <cfRule type="duplicateValues" dxfId="160" priority="220"/>
  </conditionalFormatting>
  <conditionalFormatting sqref="B83:C90">
    <cfRule type="duplicateValues" dxfId="159" priority="89332"/>
  </conditionalFormatting>
  <conditionalFormatting sqref="B91:C91">
    <cfRule type="duplicateValues" dxfId="158" priority="8"/>
  </conditionalFormatting>
  <conditionalFormatting sqref="B92:C92">
    <cfRule type="duplicateValues" dxfId="157" priority="208"/>
  </conditionalFormatting>
  <conditionalFormatting sqref="B93:C96">
    <cfRule type="duplicateValues" dxfId="156" priority="192"/>
  </conditionalFormatting>
  <conditionalFormatting sqref="B97:C100">
    <cfRule type="duplicateValues" dxfId="155" priority="197"/>
  </conditionalFormatting>
  <conditionalFormatting sqref="B109:C111">
    <cfRule type="cellIs" dxfId="154" priority="247" operator="equal">
      <formula>"IMPRIMIR"</formula>
    </cfRule>
  </conditionalFormatting>
  <conditionalFormatting sqref="B112:C115">
    <cfRule type="duplicateValues" dxfId="153" priority="87389"/>
  </conditionalFormatting>
  <conditionalFormatting sqref="B116:C116">
    <cfRule type="duplicateValues" dxfId="152" priority="396"/>
  </conditionalFormatting>
  <conditionalFormatting sqref="B137:C138 AA137:AE138">
    <cfRule type="containsText" dxfId="151" priority="293" operator="containsText" text="ABE">
      <formula>NOT(ISERROR(SEARCH("ABE",B137)))</formula>
    </cfRule>
  </conditionalFormatting>
  <conditionalFormatting sqref="B139:C139">
    <cfRule type="duplicateValues" dxfId="150" priority="144"/>
  </conditionalFormatting>
  <conditionalFormatting sqref="B140:C141">
    <cfRule type="duplicateValues" dxfId="149" priority="170"/>
  </conditionalFormatting>
  <conditionalFormatting sqref="B142:C143">
    <cfRule type="duplicateValues" dxfId="148" priority="161"/>
  </conditionalFormatting>
  <conditionalFormatting sqref="B144:C144">
    <cfRule type="duplicateValues" dxfId="147" priority="711"/>
  </conditionalFormatting>
  <conditionalFormatting sqref="B157:C157">
    <cfRule type="duplicateValues" dxfId="146" priority="875"/>
  </conditionalFormatting>
  <conditionalFormatting sqref="B158:C158">
    <cfRule type="duplicateValues" dxfId="145" priority="81320"/>
  </conditionalFormatting>
  <conditionalFormatting sqref="B159:C159">
    <cfRule type="duplicateValues" dxfId="144" priority="330"/>
  </conditionalFormatting>
  <conditionalFormatting sqref="B160:C162">
    <cfRule type="duplicateValues" dxfId="143" priority="85045"/>
  </conditionalFormatting>
  <conditionalFormatting sqref="B164:C164">
    <cfRule type="duplicateValues" dxfId="142" priority="3420"/>
  </conditionalFormatting>
  <conditionalFormatting sqref="B167:C167">
    <cfRule type="duplicateValues" dxfId="141" priority="327"/>
  </conditionalFormatting>
  <conditionalFormatting sqref="B168:C168">
    <cfRule type="duplicateValues" dxfId="140" priority="320"/>
  </conditionalFormatting>
  <conditionalFormatting sqref="B173:C174">
    <cfRule type="duplicateValues" dxfId="139" priority="26"/>
  </conditionalFormatting>
  <conditionalFormatting sqref="B175:C175">
    <cfRule type="duplicateValues" dxfId="138" priority="25"/>
  </conditionalFormatting>
  <conditionalFormatting sqref="B176:C176">
    <cfRule type="duplicateValues" dxfId="137" priority="22"/>
  </conditionalFormatting>
  <conditionalFormatting sqref="B181:C181">
    <cfRule type="duplicateValues" dxfId="136" priority="765"/>
  </conditionalFormatting>
  <conditionalFormatting sqref="B186:C218">
    <cfRule type="duplicateValues" dxfId="135" priority="88338"/>
  </conditionalFormatting>
  <conditionalFormatting sqref="C153">
    <cfRule type="duplicateValues" dxfId="134" priority="11421"/>
  </conditionalFormatting>
  <conditionalFormatting sqref="C163">
    <cfRule type="duplicateValues" dxfId="133" priority="31861"/>
  </conditionalFormatting>
  <conditionalFormatting sqref="C169">
    <cfRule type="duplicateValues" dxfId="132" priority="11426"/>
  </conditionalFormatting>
  <conditionalFormatting sqref="J140:J141">
    <cfRule type="cellIs" dxfId="131" priority="166" operator="equal">
      <formula>"IMPRIMIR"</formula>
    </cfRule>
  </conditionalFormatting>
  <conditionalFormatting sqref="O157:O159 O161:O162 O167:O168 O173:O176">
    <cfRule type="cellIs" dxfId="130" priority="12" operator="equal">
      <formula>"IMPRIMIR"</formula>
    </cfRule>
  </conditionalFormatting>
  <conditionalFormatting sqref="O160">
    <cfRule type="cellIs" dxfId="129" priority="11" operator="equal">
      <formula>"IMPRIMIR"</formula>
    </cfRule>
  </conditionalFormatting>
  <conditionalFormatting sqref="O181 O186:O218">
    <cfRule type="cellIs" dxfId="128" priority="13" operator="equal">
      <formula>"IMPRIMIR"</formula>
    </cfRule>
  </conditionalFormatting>
  <conditionalFormatting sqref="P4:P15 O4:O49 P17:P49 P62:P65 O62:O104 P83:P91 P93:P104 P109:P115 O109:O132 P137:P138 O137:O152 P145:P152 P167 P173:P176">
    <cfRule type="cellIs" dxfId="127" priority="18" operator="equal">
      <formula>"IMPRIMIR"</formula>
    </cfRule>
  </conditionalFormatting>
  <conditionalFormatting sqref="P117:P132 P157:P158 P160:P162">
    <cfRule type="cellIs" dxfId="126" priority="20" operator="equal">
      <formula>"IMPRIMIR"</formula>
    </cfRule>
  </conditionalFormatting>
  <conditionalFormatting sqref="P67:P81">
    <cfRule type="cellIs" dxfId="125" priority="16" operator="equal">
      <formula>"IMPRIMIR"</formula>
    </cfRule>
  </conditionalFormatting>
  <conditionalFormatting sqref="P140:P143">
    <cfRule type="cellIs" dxfId="124" priority="14" operator="equal">
      <formula>"IMPRIMIR"</formula>
    </cfRule>
  </conditionalFormatting>
  <conditionalFormatting sqref="T4:T15">
    <cfRule type="duplicateValues" dxfId="123" priority="90149"/>
  </conditionalFormatting>
  <conditionalFormatting sqref="T109:T115">
    <cfRule type="duplicateValues" dxfId="122" priority="90349"/>
  </conditionalFormatting>
  <conditionalFormatting sqref="T140:T141">
    <cfRule type="duplicateValues" dxfId="121" priority="169"/>
  </conditionalFormatting>
  <conditionalFormatting sqref="T142:T143">
    <cfRule type="duplicateValues" dxfId="120" priority="160"/>
  </conditionalFormatting>
  <conditionalFormatting sqref="T145">
    <cfRule type="duplicateValues" dxfId="119" priority="84833"/>
  </conditionalFormatting>
  <conditionalFormatting sqref="T147">
    <cfRule type="duplicateValues" dxfId="118" priority="366"/>
  </conditionalFormatting>
  <conditionalFormatting sqref="T149">
    <cfRule type="duplicateValues" dxfId="117" priority="365"/>
  </conditionalFormatting>
  <conditionalFormatting sqref="T151">
    <cfRule type="duplicateValues" dxfId="116" priority="364"/>
  </conditionalFormatting>
  <conditionalFormatting sqref="T153 T136 T50:T51 T1 T3 T108 T133:T134 T156:T158 T57:T59 T53:T55 T61:T65 T166:T167 T169:T170 T160:T163 T67:T81 T93:T106 T172:T1048576 T83:T91">
    <cfRule type="duplicateValues" dxfId="115" priority="44048"/>
  </conditionalFormatting>
  <conditionalFormatting sqref="Y140:Y141">
    <cfRule type="duplicateValues" dxfId="114" priority="168"/>
    <cfRule type="duplicateValues" dxfId="113" priority="171"/>
    <cfRule type="duplicateValues" dxfId="112" priority="172"/>
  </conditionalFormatting>
  <conditionalFormatting sqref="Y142:Y143">
    <cfRule type="duplicateValues" dxfId="111" priority="159"/>
    <cfRule type="duplicateValues" dxfId="110" priority="162"/>
    <cfRule type="duplicateValues" dxfId="109" priority="163"/>
  </conditionalFormatting>
  <conditionalFormatting sqref="Z4:Z6">
    <cfRule type="duplicateValues" dxfId="108" priority="90150"/>
    <cfRule type="duplicateValues" dxfId="107" priority="90151"/>
    <cfRule type="duplicateValues" dxfId="106" priority="90152"/>
    <cfRule type="duplicateValues" dxfId="105" priority="90153"/>
    <cfRule type="duplicateValues" dxfId="104" priority="90154"/>
    <cfRule type="duplicateValues" dxfId="103" priority="90155"/>
    <cfRule type="duplicateValues" dxfId="102" priority="90156"/>
    <cfRule type="duplicateValues" dxfId="101" priority="90157"/>
    <cfRule type="duplicateValues" dxfId="100" priority="90158"/>
    <cfRule type="duplicateValues" dxfId="99" priority="90159"/>
    <cfRule type="duplicateValues" dxfId="98" priority="90160"/>
    <cfRule type="duplicateValues" dxfId="97" priority="90161"/>
  </conditionalFormatting>
  <conditionalFormatting sqref="Z31:Z33">
    <cfRule type="duplicateValues" dxfId="96" priority="122"/>
    <cfRule type="duplicateValues" dxfId="95" priority="123"/>
  </conditionalFormatting>
  <conditionalFormatting sqref="Z39:Z41">
    <cfRule type="duplicateValues" dxfId="94" priority="118"/>
    <cfRule type="duplicateValues" dxfId="93" priority="119"/>
  </conditionalFormatting>
  <conditionalFormatting sqref="Z49">
    <cfRule type="duplicateValues" dxfId="92" priority="110"/>
    <cfRule type="duplicateValues" dxfId="91" priority="111"/>
  </conditionalFormatting>
  <conditionalFormatting sqref="Z62:Z65">
    <cfRule type="duplicateValues" dxfId="90" priority="90252"/>
    <cfRule type="duplicateValues" dxfId="89" priority="90253"/>
    <cfRule type="duplicateValues" dxfId="88" priority="90254"/>
  </conditionalFormatting>
  <conditionalFormatting sqref="Z67:Z81">
    <cfRule type="duplicateValues" dxfId="87" priority="89257"/>
    <cfRule type="duplicateValues" dxfId="86" priority="89258"/>
    <cfRule type="duplicateValues" dxfId="85" priority="89259"/>
  </conditionalFormatting>
  <conditionalFormatting sqref="Z83:Z91">
    <cfRule type="duplicateValues" dxfId="84" priority="90443"/>
    <cfRule type="duplicateValues" dxfId="83" priority="90444"/>
    <cfRule type="duplicateValues" dxfId="82" priority="90445"/>
  </conditionalFormatting>
  <conditionalFormatting sqref="Z124">
    <cfRule type="duplicateValues" dxfId="81" priority="60"/>
    <cfRule type="duplicateValues" dxfId="80" priority="61"/>
  </conditionalFormatting>
  <conditionalFormatting sqref="Z31:AA33">
    <cfRule type="duplicateValues" dxfId="79" priority="120"/>
    <cfRule type="duplicateValues" dxfId="78" priority="121"/>
  </conditionalFormatting>
  <conditionalFormatting sqref="Z39:AA41">
    <cfRule type="duplicateValues" dxfId="77" priority="116"/>
    <cfRule type="duplicateValues" dxfId="76" priority="117"/>
  </conditionalFormatting>
  <conditionalFormatting sqref="Z49:AA49">
    <cfRule type="duplicateValues" dxfId="75" priority="108"/>
    <cfRule type="duplicateValues" dxfId="74" priority="109"/>
  </conditionalFormatting>
  <conditionalFormatting sqref="Z62:AA65">
    <cfRule type="duplicateValues" dxfId="73" priority="90255"/>
    <cfRule type="duplicateValues" dxfId="72" priority="90256"/>
    <cfRule type="duplicateValues" dxfId="71" priority="90257"/>
  </conditionalFormatting>
  <conditionalFormatting sqref="Z67:AA81">
    <cfRule type="duplicateValues" dxfId="70" priority="89260"/>
    <cfRule type="duplicateValues" dxfId="69" priority="89261"/>
    <cfRule type="duplicateValues" dxfId="68" priority="89262"/>
  </conditionalFormatting>
  <conditionalFormatting sqref="Z83:AA90">
    <cfRule type="duplicateValues" dxfId="67" priority="89358"/>
    <cfRule type="duplicateValues" dxfId="66" priority="89359"/>
    <cfRule type="duplicateValues" dxfId="65" priority="89360"/>
  </conditionalFormatting>
  <conditionalFormatting sqref="Z91:AA91">
    <cfRule type="duplicateValues" dxfId="64" priority="5"/>
    <cfRule type="duplicateValues" dxfId="63" priority="6"/>
    <cfRule type="duplicateValues" dxfId="62" priority="7"/>
  </conditionalFormatting>
  <conditionalFormatting sqref="Z93:AA96">
    <cfRule type="duplicateValues" dxfId="61" priority="193"/>
    <cfRule type="duplicateValues" dxfId="60" priority="194"/>
    <cfRule type="duplicateValues" dxfId="59" priority="195"/>
  </conditionalFormatting>
  <conditionalFormatting sqref="Z97:AA100">
    <cfRule type="duplicateValues" dxfId="58" priority="201"/>
    <cfRule type="duplicateValues" dxfId="57" priority="202"/>
    <cfRule type="duplicateValues" dxfId="56" priority="203"/>
  </conditionalFormatting>
  <conditionalFormatting sqref="Z124:AA124">
    <cfRule type="duplicateValues" dxfId="55" priority="59"/>
  </conditionalFormatting>
  <conditionalFormatting sqref="AA137:AA138">
    <cfRule type="duplicateValues" dxfId="54" priority="84100"/>
  </conditionalFormatting>
  <conditionalFormatting sqref="AB62:AB65">
    <cfRule type="duplicateValues" dxfId="53" priority="90258"/>
  </conditionalFormatting>
  <conditionalFormatting sqref="AB67:AB81">
    <cfRule type="duplicateValues" dxfId="52" priority="89263"/>
  </conditionalFormatting>
  <conditionalFormatting sqref="AB83:AB91">
    <cfRule type="duplicateValues" dxfId="51" priority="90446"/>
  </conditionalFormatting>
  <conditionalFormatting sqref="AB105:AB108 AB136 AB153:AB240">
    <cfRule type="containsText" dxfId="50" priority="3643" operator="containsText" text="ABER">
      <formula>NOT(ISERROR(SEARCH("ABER",AB105)))</formula>
    </cfRule>
  </conditionalFormatting>
  <conditionalFormatting sqref="AB140:AB141">
    <cfRule type="duplicateValues" dxfId="49" priority="167"/>
    <cfRule type="containsText" dxfId="48" priority="173" operator="containsText" text="ABER">
      <formula>NOT(ISERROR(SEARCH("ABER",AB140)))</formula>
    </cfRule>
  </conditionalFormatting>
  <conditionalFormatting sqref="AB142:AB143">
    <cfRule type="duplicateValues" dxfId="47" priority="158"/>
    <cfRule type="containsText" dxfId="46" priority="164" operator="containsText" text="ABER">
      <formula>NOT(ISERROR(SEARCH("ABER",AB142)))</formula>
    </cfRule>
  </conditionalFormatting>
  <conditionalFormatting sqref="AB53:AB61 AB145:AB152">
    <cfRule type="containsText" dxfId="45" priority="2181" operator="containsText" text="ABER">
      <formula>NOT(ISERROR(SEARCH("ABER",AB53)))</formula>
    </cfRule>
  </conditionalFormatting>
  <conditionalFormatting sqref="AG137:AG138 AD4:AD889">
    <cfRule type="containsText" dxfId="44" priority="294" operator="containsText" text="abe">
      <formula>NOT(ISERROR(SEARCH("abe",AD4)))</formula>
    </cfRule>
  </conditionalFormatting>
  <conditionalFormatting sqref="AE1:AE3 AE890:AE1048576 AF4:AF136 AF139:AF889">
    <cfRule type="cellIs" dxfId="43" priority="1317" operator="lessThan">
      <formula>0</formula>
    </cfRule>
  </conditionalFormatting>
  <conditionalFormatting sqref="AE4:AE136 AE139:AE889">
    <cfRule type="containsText" dxfId="42" priority="2602" operator="containsText" text="ABE">
      <formula>NOT(ISERROR(SEARCH("ABE",AE4)))</formula>
    </cfRule>
    <cfRule type="containsText" dxfId="41" priority="2603" operator="containsText" text="ab">
      <formula>NOT(ISERROR(SEARCH("ab",AE4)))</formula>
    </cfRule>
    <cfRule type="containsText" dxfId="40" priority="29978" operator="containsText" text="ABERT">
      <formula>NOT(ISERROR(SEARCH("ABERT",AE4)))</formula>
    </cfRule>
  </conditionalFormatting>
  <conditionalFormatting sqref="B17:B49">
    <cfRule type="duplicateValues" dxfId="39" priority="90655"/>
    <cfRule type="duplicateValues" dxfId="38" priority="90656"/>
  </conditionalFormatting>
  <conditionalFormatting sqref="B26:C49">
    <cfRule type="duplicateValues" dxfId="37" priority="90696"/>
    <cfRule type="duplicateValues" dxfId="36" priority="90697"/>
  </conditionalFormatting>
  <conditionalFormatting sqref="T17:T49">
    <cfRule type="duplicateValues" dxfId="35" priority="90698"/>
  </conditionalFormatting>
  <conditionalFormatting sqref="Z46:Z48 Z34:Z36 Z42:Z44 Z17:Z21">
    <cfRule type="duplicateValues" dxfId="34" priority="90718"/>
    <cfRule type="duplicateValues" dxfId="33" priority="90719"/>
    <cfRule type="duplicateValues" dxfId="32" priority="90720"/>
    <cfRule type="duplicateValues" dxfId="31" priority="90721"/>
    <cfRule type="duplicateValues" dxfId="30" priority="90722"/>
    <cfRule type="duplicateValues" dxfId="29" priority="90723"/>
    <cfRule type="duplicateValues" dxfId="28" priority="90724"/>
    <cfRule type="duplicateValues" dxfId="27" priority="90725"/>
    <cfRule type="duplicateValues" dxfId="26" priority="90726"/>
    <cfRule type="duplicateValues" dxfId="25" priority="90727"/>
    <cfRule type="duplicateValues" dxfId="24" priority="90728"/>
    <cfRule type="duplicateValues" dxfId="23" priority="90729"/>
  </conditionalFormatting>
  <conditionalFormatting sqref="B93:B104">
    <cfRule type="duplicateValues" dxfId="22" priority="90752"/>
    <cfRule type="duplicateValues" dxfId="21" priority="90753"/>
    <cfRule type="duplicateValues" dxfId="20" priority="90754"/>
  </conditionalFormatting>
  <conditionalFormatting sqref="B101:C104">
    <cfRule type="duplicateValues" dxfId="19" priority="90794"/>
  </conditionalFormatting>
  <conditionalFormatting sqref="Z93:Z104">
    <cfRule type="duplicateValues" dxfId="18" priority="90814"/>
    <cfRule type="duplicateValues" dxfId="17" priority="90815"/>
    <cfRule type="duplicateValues" dxfId="16" priority="90816"/>
  </conditionalFormatting>
  <conditionalFormatting sqref="Z101:AA104">
    <cfRule type="duplicateValues" dxfId="15" priority="90817"/>
    <cfRule type="duplicateValues" dxfId="14" priority="90818"/>
    <cfRule type="duplicateValues" dxfId="13" priority="90819"/>
  </conditionalFormatting>
  <conditionalFormatting sqref="AB93:AB104">
    <cfRule type="duplicateValues" dxfId="12" priority="90820"/>
  </conditionalFormatting>
  <conditionalFormatting sqref="B117:B132">
    <cfRule type="duplicateValues" dxfId="11" priority="90843"/>
    <cfRule type="duplicateValues" dxfId="10" priority="90844"/>
  </conditionalFormatting>
  <conditionalFormatting sqref="B117:C132">
    <cfRule type="duplicateValues" dxfId="9" priority="90884"/>
  </conditionalFormatting>
  <conditionalFormatting sqref="T117:T132">
    <cfRule type="duplicateValues" dxfId="8" priority="90885"/>
  </conditionalFormatting>
  <conditionalFormatting sqref="Y117:Y132">
    <cfRule type="duplicateValues" dxfId="7" priority="90904"/>
    <cfRule type="duplicateValues" dxfId="6" priority="90905"/>
    <cfRule type="duplicateValues" dxfId="5" priority="90906"/>
  </conditionalFormatting>
  <conditionalFormatting sqref="B145:C152">
    <cfRule type="duplicateValues" dxfId="4" priority="90968"/>
  </conditionalFormatting>
  <conditionalFormatting sqref="Y145:Y152">
    <cfRule type="duplicateValues" dxfId="3" priority="90987"/>
    <cfRule type="duplicateValues" dxfId="2" priority="90988"/>
  </conditionalFormatting>
  <conditionalFormatting sqref="AB145:AB152">
    <cfRule type="duplicateValues" dxfId="1" priority="90989"/>
  </conditionalFormatting>
  <printOptions horizontalCentered="1" verticalCentered="1"/>
  <pageMargins left="0.18" right="0.18" top="0.18" bottom="0.18" header="0.18" footer="0.17"/>
  <pageSetup scale="10" orientation="landscape" r:id="rId1"/>
  <headerFooter>
    <oddHeader xml:space="preserve">&amp;C
</oddHeader>
  </headerFooter>
  <ignoredErrors>
    <ignoredError sqref="N136 F133 N153" evalError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BFEA-46D1-4948-8A8C-B41FE50E30CA}">
  <sheetPr codeName="Planilha2"/>
  <dimension ref="A1:U1797"/>
  <sheetViews>
    <sheetView showGridLines="0" zoomScale="70" zoomScaleNormal="70" workbookViewId="0">
      <pane ySplit="1" topLeftCell="A2" activePane="bottomLeft" state="frozen"/>
      <selection activeCell="B4" sqref="B4"/>
      <selection pane="bottomLeft" sqref="A1:A1048576"/>
    </sheetView>
  </sheetViews>
  <sheetFormatPr defaultRowHeight="15" x14ac:dyDescent="0.25"/>
  <cols>
    <col min="1" max="1" width="12.5703125" style="57" bestFit="1" customWidth="1"/>
    <col min="2" max="2" width="16" style="57" bestFit="1" customWidth="1"/>
    <col min="3" max="3" width="53.42578125" style="57" bestFit="1" customWidth="1"/>
    <col min="4" max="4" width="11" style="57" bestFit="1" customWidth="1"/>
    <col min="5" max="6" width="8" style="57" bestFit="1" customWidth="1"/>
    <col min="7" max="7" width="16" style="57" bestFit="1" customWidth="1"/>
    <col min="8" max="8" width="5" style="57" bestFit="1" customWidth="1"/>
    <col min="9" max="9" width="17" style="57" bestFit="1" customWidth="1"/>
    <col min="10" max="10" width="13" style="57" bestFit="1" customWidth="1"/>
    <col min="11" max="11" width="22" style="57" bestFit="1" customWidth="1"/>
    <col min="12" max="12" width="21" style="57" bestFit="1" customWidth="1"/>
    <col min="13" max="13" width="6" style="57" bestFit="1" customWidth="1"/>
    <col min="14" max="14" width="42" style="57" bestFit="1" customWidth="1"/>
    <col min="15" max="15" width="19.5703125" bestFit="1" customWidth="1"/>
  </cols>
  <sheetData>
    <row r="1" spans="1:21" ht="75" x14ac:dyDescent="0.25">
      <c r="A1" s="136" t="s">
        <v>6</v>
      </c>
      <c r="B1" s="136" t="s">
        <v>7</v>
      </c>
      <c r="C1" s="136" t="s">
        <v>23</v>
      </c>
      <c r="D1" s="136" t="s">
        <v>0</v>
      </c>
      <c r="E1" s="137" t="s">
        <v>8</v>
      </c>
      <c r="F1" s="137" t="s">
        <v>9</v>
      </c>
      <c r="G1" s="137" t="s">
        <v>24</v>
      </c>
      <c r="H1" s="137" t="s">
        <v>25</v>
      </c>
      <c r="I1" s="136" t="s">
        <v>493</v>
      </c>
      <c r="J1" s="137" t="s">
        <v>26</v>
      </c>
      <c r="K1" s="136" t="s">
        <v>27</v>
      </c>
      <c r="L1" s="136" t="s">
        <v>28</v>
      </c>
      <c r="M1" s="137" t="s">
        <v>494</v>
      </c>
      <c r="N1" s="136" t="s">
        <v>29</v>
      </c>
    </row>
    <row r="2" spans="1:21" x14ac:dyDescent="0.25">
      <c r="A2" s="57">
        <v>1962258</v>
      </c>
      <c r="B2" s="57" t="s">
        <v>80</v>
      </c>
      <c r="C2" s="57" t="s">
        <v>81</v>
      </c>
      <c r="D2" s="57" t="s">
        <v>790</v>
      </c>
      <c r="E2" s="138">
        <v>7830</v>
      </c>
      <c r="F2" s="138">
        <v>7725</v>
      </c>
      <c r="G2" s="57" t="s">
        <v>78</v>
      </c>
      <c r="H2" s="57" t="s">
        <v>79</v>
      </c>
      <c r="I2" s="58">
        <v>46147</v>
      </c>
      <c r="J2" s="58">
        <v>46148</v>
      </c>
      <c r="K2" s="59">
        <v>0.68199074074073995</v>
      </c>
      <c r="L2" s="59">
        <v>0.68806712962963001</v>
      </c>
      <c r="M2" s="57" t="s">
        <v>490</v>
      </c>
      <c r="N2" s="57" t="s">
        <v>808</v>
      </c>
      <c r="O2" s="58"/>
      <c r="P2" s="59"/>
      <c r="Q2" s="57"/>
      <c r="R2" s="57"/>
      <c r="S2" s="57"/>
      <c r="T2" s="57"/>
      <c r="U2" s="57"/>
    </row>
    <row r="3" spans="1:21" x14ac:dyDescent="0.25">
      <c r="A3" s="57">
        <v>1961040</v>
      </c>
      <c r="B3" s="57" t="s">
        <v>80</v>
      </c>
      <c r="C3" s="57" t="s">
        <v>81</v>
      </c>
      <c r="D3" s="57" t="s">
        <v>490</v>
      </c>
      <c r="E3" s="138">
        <v>7830</v>
      </c>
      <c r="F3" s="138">
        <v>0</v>
      </c>
      <c r="G3" s="57" t="s">
        <v>78</v>
      </c>
      <c r="H3" s="57" t="s">
        <v>79</v>
      </c>
      <c r="I3" s="58">
        <v>46148</v>
      </c>
      <c r="J3" s="58">
        <v>46149</v>
      </c>
      <c r="K3" s="59">
        <v>0.27777777777778001</v>
      </c>
      <c r="L3" s="59">
        <v>0.34745370370369999</v>
      </c>
      <c r="M3" s="57" t="s">
        <v>490</v>
      </c>
      <c r="N3" s="57" t="s">
        <v>558</v>
      </c>
      <c r="O3" s="58"/>
      <c r="P3" s="59"/>
      <c r="Q3" s="57"/>
      <c r="R3" s="57"/>
      <c r="S3" s="57"/>
      <c r="T3" s="57"/>
      <c r="U3" s="57"/>
    </row>
    <row r="4" spans="1:21" x14ac:dyDescent="0.25">
      <c r="A4" s="57">
        <v>1961450</v>
      </c>
      <c r="B4" s="57" t="s">
        <v>80</v>
      </c>
      <c r="C4" s="57" t="s">
        <v>81</v>
      </c>
      <c r="D4" s="57" t="s">
        <v>490</v>
      </c>
      <c r="E4" s="138">
        <v>7830</v>
      </c>
      <c r="F4" s="138">
        <v>0</v>
      </c>
      <c r="G4" s="57" t="s">
        <v>78</v>
      </c>
      <c r="H4" s="57" t="s">
        <v>79</v>
      </c>
      <c r="I4" s="58">
        <v>46156</v>
      </c>
      <c r="J4" s="58">
        <v>46157</v>
      </c>
      <c r="K4" s="59">
        <v>0.27777777777778001</v>
      </c>
      <c r="L4" s="59">
        <v>0.34745370370369999</v>
      </c>
      <c r="M4" s="57" t="s">
        <v>490</v>
      </c>
      <c r="N4" s="57" t="s">
        <v>558</v>
      </c>
      <c r="O4" s="58"/>
      <c r="P4" s="59"/>
      <c r="Q4" s="57"/>
      <c r="R4" s="57"/>
      <c r="S4" s="57"/>
      <c r="T4" s="57"/>
      <c r="U4" s="57"/>
    </row>
    <row r="5" spans="1:21" x14ac:dyDescent="0.25">
      <c r="A5" s="57">
        <v>1961453</v>
      </c>
      <c r="B5" s="57" t="s">
        <v>80</v>
      </c>
      <c r="C5" s="57" t="s">
        <v>81</v>
      </c>
      <c r="D5" s="57" t="s">
        <v>490</v>
      </c>
      <c r="E5" s="138">
        <v>7830</v>
      </c>
      <c r="F5" s="138">
        <v>0</v>
      </c>
      <c r="G5" s="57" t="s">
        <v>78</v>
      </c>
      <c r="H5" s="57" t="s">
        <v>79</v>
      </c>
      <c r="I5" s="58">
        <v>46157</v>
      </c>
      <c r="J5" s="58">
        <v>46158</v>
      </c>
      <c r="K5" s="59">
        <v>0.27777777777778001</v>
      </c>
      <c r="L5" s="59">
        <v>0.34745370370369999</v>
      </c>
      <c r="M5" s="57" t="s">
        <v>490</v>
      </c>
      <c r="N5" s="57" t="s">
        <v>558</v>
      </c>
      <c r="O5" s="58"/>
      <c r="P5" s="59"/>
      <c r="Q5" s="57"/>
      <c r="R5" s="57"/>
      <c r="S5" s="57"/>
      <c r="T5" s="57"/>
      <c r="U5" s="57"/>
    </row>
    <row r="6" spans="1:21" x14ac:dyDescent="0.25">
      <c r="A6" s="57">
        <v>1961456</v>
      </c>
      <c r="B6" s="57" t="s">
        <v>80</v>
      </c>
      <c r="C6" s="57" t="s">
        <v>81</v>
      </c>
      <c r="D6" s="57" t="s">
        <v>490</v>
      </c>
      <c r="E6" s="138">
        <v>7830</v>
      </c>
      <c r="F6" s="138">
        <v>0</v>
      </c>
      <c r="G6" s="57" t="s">
        <v>78</v>
      </c>
      <c r="H6" s="57" t="s">
        <v>79</v>
      </c>
      <c r="I6" s="58">
        <v>46158</v>
      </c>
      <c r="J6" s="58">
        <v>46160</v>
      </c>
      <c r="K6" s="59">
        <v>0.27777777777778001</v>
      </c>
      <c r="L6" s="59">
        <v>0.34745370370369999</v>
      </c>
      <c r="M6" s="57" t="s">
        <v>490</v>
      </c>
      <c r="N6" s="57" t="s">
        <v>558</v>
      </c>
      <c r="O6" s="58"/>
      <c r="P6" s="59"/>
      <c r="Q6" s="57"/>
      <c r="R6" s="57"/>
      <c r="S6" s="57"/>
      <c r="T6" s="57"/>
      <c r="U6" s="57"/>
    </row>
    <row r="7" spans="1:21" x14ac:dyDescent="0.25">
      <c r="A7" s="57">
        <v>1961458</v>
      </c>
      <c r="B7" s="57" t="s">
        <v>80</v>
      </c>
      <c r="C7" s="57" t="s">
        <v>81</v>
      </c>
      <c r="D7" s="57" t="s">
        <v>490</v>
      </c>
      <c r="E7" s="138">
        <v>7830</v>
      </c>
      <c r="F7" s="138">
        <v>0</v>
      </c>
      <c r="G7" s="57" t="s">
        <v>78</v>
      </c>
      <c r="H7" s="57" t="s">
        <v>79</v>
      </c>
      <c r="I7" s="58">
        <v>46160</v>
      </c>
      <c r="J7" s="58">
        <v>46161</v>
      </c>
      <c r="K7" s="59">
        <v>0.27777777777778001</v>
      </c>
      <c r="L7" s="59">
        <v>0.34745370370369999</v>
      </c>
      <c r="M7" s="57" t="s">
        <v>490</v>
      </c>
      <c r="N7" s="57" t="s">
        <v>558</v>
      </c>
      <c r="O7" s="58"/>
      <c r="P7" s="59"/>
      <c r="Q7" s="57"/>
      <c r="R7" s="57"/>
      <c r="S7" s="57"/>
      <c r="T7" s="57"/>
      <c r="U7" s="57"/>
    </row>
    <row r="8" spans="1:21" x14ac:dyDescent="0.25">
      <c r="A8" s="57">
        <v>1961461</v>
      </c>
      <c r="B8" s="57" t="s">
        <v>82</v>
      </c>
      <c r="C8" s="57" t="s">
        <v>83</v>
      </c>
      <c r="D8" s="57" t="s">
        <v>490</v>
      </c>
      <c r="E8" s="138">
        <v>7830</v>
      </c>
      <c r="F8" s="138">
        <v>0</v>
      </c>
      <c r="G8" s="57" t="s">
        <v>78</v>
      </c>
      <c r="H8" s="57" t="s">
        <v>79</v>
      </c>
      <c r="I8" s="58">
        <v>46161</v>
      </c>
      <c r="J8" s="58">
        <v>46162</v>
      </c>
      <c r="K8" s="59">
        <v>0.27777777777778001</v>
      </c>
      <c r="L8" s="59">
        <v>0.34745370370369999</v>
      </c>
      <c r="M8" s="57" t="s">
        <v>490</v>
      </c>
      <c r="N8" s="57" t="s">
        <v>558</v>
      </c>
      <c r="O8" s="58"/>
      <c r="P8" s="59"/>
      <c r="Q8" s="57"/>
      <c r="R8" s="57"/>
      <c r="S8" s="57"/>
      <c r="T8" s="57"/>
      <c r="U8" s="57"/>
    </row>
    <row r="9" spans="1:21" x14ac:dyDescent="0.25">
      <c r="A9" s="57">
        <v>1961464</v>
      </c>
      <c r="B9" s="57" t="s">
        <v>82</v>
      </c>
      <c r="C9" s="57" t="s">
        <v>83</v>
      </c>
      <c r="D9" s="57" t="s">
        <v>490</v>
      </c>
      <c r="E9" s="138">
        <v>7830</v>
      </c>
      <c r="F9" s="138">
        <v>0</v>
      </c>
      <c r="G9" s="57" t="s">
        <v>78</v>
      </c>
      <c r="H9" s="57" t="s">
        <v>79</v>
      </c>
      <c r="I9" s="58">
        <v>46162</v>
      </c>
      <c r="J9" s="58">
        <v>46163</v>
      </c>
      <c r="K9" s="59">
        <v>0.27777777777778001</v>
      </c>
      <c r="L9" s="59">
        <v>0.34745370370369999</v>
      </c>
      <c r="M9" s="57" t="s">
        <v>490</v>
      </c>
      <c r="N9" s="57" t="s">
        <v>558</v>
      </c>
      <c r="O9" s="58"/>
      <c r="P9" s="59"/>
      <c r="Q9" s="57"/>
      <c r="R9" s="57"/>
      <c r="S9" s="57"/>
      <c r="T9" s="57"/>
      <c r="U9" s="57"/>
    </row>
    <row r="10" spans="1:21" x14ac:dyDescent="0.25">
      <c r="A10" s="57">
        <v>1961424</v>
      </c>
      <c r="B10" s="57" t="s">
        <v>70</v>
      </c>
      <c r="C10" s="57" t="s">
        <v>71</v>
      </c>
      <c r="D10" s="57" t="s">
        <v>490</v>
      </c>
      <c r="E10" s="138">
        <v>8232</v>
      </c>
      <c r="F10" s="138">
        <v>0</v>
      </c>
      <c r="G10" s="57" t="s">
        <v>78</v>
      </c>
      <c r="H10" s="57" t="s">
        <v>79</v>
      </c>
      <c r="I10" s="58">
        <v>46158</v>
      </c>
      <c r="J10" s="58">
        <v>46159</v>
      </c>
      <c r="K10" s="59">
        <v>0.27777777777778001</v>
      </c>
      <c r="L10" s="59">
        <v>0.15726851851852</v>
      </c>
      <c r="M10" s="57" t="s">
        <v>490</v>
      </c>
      <c r="N10" s="57" t="s">
        <v>558</v>
      </c>
      <c r="O10" s="58"/>
      <c r="P10" s="59"/>
      <c r="Q10" s="57"/>
      <c r="R10" s="57"/>
      <c r="S10" s="57"/>
      <c r="T10" s="57"/>
      <c r="U10" s="57"/>
    </row>
    <row r="11" spans="1:21" x14ac:dyDescent="0.25">
      <c r="A11" s="57">
        <v>1961427</v>
      </c>
      <c r="B11" s="57" t="s">
        <v>72</v>
      </c>
      <c r="C11" s="57" t="s">
        <v>73</v>
      </c>
      <c r="D11" s="57" t="s">
        <v>490</v>
      </c>
      <c r="E11" s="138">
        <v>8232</v>
      </c>
      <c r="F11" s="138">
        <v>0</v>
      </c>
      <c r="G11" s="57" t="s">
        <v>78</v>
      </c>
      <c r="H11" s="57" t="s">
        <v>79</v>
      </c>
      <c r="I11" s="58">
        <v>46160</v>
      </c>
      <c r="J11" s="58">
        <v>46161</v>
      </c>
      <c r="K11" s="59">
        <v>0.27777777777778001</v>
      </c>
      <c r="L11" s="59">
        <v>0.15726851851852</v>
      </c>
      <c r="M11" s="57" t="s">
        <v>490</v>
      </c>
      <c r="N11" s="57" t="s">
        <v>558</v>
      </c>
      <c r="O11" s="58"/>
      <c r="P11" s="59"/>
      <c r="Q11" s="57"/>
      <c r="R11" s="57"/>
      <c r="S11" s="57"/>
      <c r="T11" s="57"/>
      <c r="U11" s="57"/>
    </row>
    <row r="12" spans="1:21" x14ac:dyDescent="0.25">
      <c r="A12" s="57">
        <v>1961415</v>
      </c>
      <c r="B12" s="57" t="s">
        <v>84</v>
      </c>
      <c r="C12" s="57" t="s">
        <v>85</v>
      </c>
      <c r="D12" s="57" t="s">
        <v>490</v>
      </c>
      <c r="E12" s="138">
        <v>8232</v>
      </c>
      <c r="F12" s="138">
        <v>0</v>
      </c>
      <c r="G12" s="57" t="s">
        <v>78</v>
      </c>
      <c r="H12" s="57" t="s">
        <v>79</v>
      </c>
      <c r="I12" s="58">
        <v>46155</v>
      </c>
      <c r="J12" s="58">
        <v>46156</v>
      </c>
      <c r="K12" s="59">
        <v>0.27777777777778001</v>
      </c>
      <c r="L12" s="59">
        <v>0.15726851851852</v>
      </c>
      <c r="M12" s="57" t="s">
        <v>490</v>
      </c>
      <c r="N12" s="57" t="s">
        <v>558</v>
      </c>
      <c r="O12" s="58"/>
      <c r="P12" s="59"/>
      <c r="Q12" s="57"/>
      <c r="R12" s="57"/>
      <c r="S12" s="57"/>
      <c r="T12" s="57"/>
      <c r="U12" s="57"/>
    </row>
    <row r="13" spans="1:21" x14ac:dyDescent="0.25">
      <c r="A13" s="57">
        <v>1961418</v>
      </c>
      <c r="B13" s="57" t="s">
        <v>84</v>
      </c>
      <c r="C13" s="57" t="s">
        <v>85</v>
      </c>
      <c r="D13" s="57" t="s">
        <v>490</v>
      </c>
      <c r="E13" s="138">
        <v>8232</v>
      </c>
      <c r="F13" s="138">
        <v>0</v>
      </c>
      <c r="G13" s="57" t="s">
        <v>78</v>
      </c>
      <c r="H13" s="57" t="s">
        <v>79</v>
      </c>
      <c r="I13" s="58">
        <v>46156</v>
      </c>
      <c r="J13" s="58">
        <v>46157</v>
      </c>
      <c r="K13" s="59">
        <v>0.27777777777778001</v>
      </c>
      <c r="L13" s="59">
        <v>0.15726851851852</v>
      </c>
      <c r="M13" s="57" t="s">
        <v>490</v>
      </c>
      <c r="N13" s="57" t="s">
        <v>558</v>
      </c>
      <c r="O13" s="58"/>
      <c r="P13" s="59"/>
      <c r="Q13" s="57"/>
      <c r="R13" s="57"/>
      <c r="S13" s="57"/>
      <c r="T13" s="57"/>
      <c r="U13" s="57"/>
    </row>
    <row r="14" spans="1:21" x14ac:dyDescent="0.25">
      <c r="A14" s="57">
        <v>1961421</v>
      </c>
      <c r="B14" s="57" t="s">
        <v>84</v>
      </c>
      <c r="C14" s="57" t="s">
        <v>85</v>
      </c>
      <c r="D14" s="57" t="s">
        <v>490</v>
      </c>
      <c r="E14" s="138">
        <v>8232</v>
      </c>
      <c r="F14" s="138">
        <v>0</v>
      </c>
      <c r="G14" s="57" t="s">
        <v>78</v>
      </c>
      <c r="H14" s="57" t="s">
        <v>79</v>
      </c>
      <c r="I14" s="58">
        <v>46157</v>
      </c>
      <c r="J14" s="58">
        <v>46158</v>
      </c>
      <c r="K14" s="59">
        <v>0.27777777777778001</v>
      </c>
      <c r="L14" s="59">
        <v>0.15726851851852</v>
      </c>
      <c r="M14" s="57" t="s">
        <v>490</v>
      </c>
      <c r="N14" s="57" t="s">
        <v>558</v>
      </c>
      <c r="O14" s="58"/>
      <c r="P14" s="59"/>
      <c r="Q14" s="57"/>
      <c r="R14" s="57"/>
      <c r="S14" s="57"/>
      <c r="T14" s="57"/>
      <c r="U14" s="57"/>
    </row>
    <row r="15" spans="1:21" x14ac:dyDescent="0.25">
      <c r="A15" s="57">
        <v>1961436</v>
      </c>
      <c r="B15" s="57" t="s">
        <v>595</v>
      </c>
      <c r="C15" s="57" t="s">
        <v>596</v>
      </c>
      <c r="D15" s="57" t="s">
        <v>490</v>
      </c>
      <c r="E15" s="138">
        <v>7996</v>
      </c>
      <c r="F15" s="138">
        <v>0</v>
      </c>
      <c r="G15" s="57" t="s">
        <v>78</v>
      </c>
      <c r="H15" s="57" t="s">
        <v>79</v>
      </c>
      <c r="I15" s="58">
        <v>46160</v>
      </c>
      <c r="J15" s="58">
        <v>46161</v>
      </c>
      <c r="K15" s="59">
        <v>0.27777777777778001</v>
      </c>
      <c r="L15" s="59">
        <v>0.70083333333332998</v>
      </c>
      <c r="M15" s="57" t="s">
        <v>490</v>
      </c>
      <c r="N15" s="57" t="s">
        <v>558</v>
      </c>
      <c r="O15" s="58"/>
      <c r="P15" s="59"/>
      <c r="Q15" s="57"/>
      <c r="R15" s="57"/>
      <c r="S15" s="57"/>
      <c r="T15" s="57"/>
      <c r="U15" s="57"/>
    </row>
    <row r="16" spans="1:21" x14ac:dyDescent="0.25">
      <c r="A16" s="57">
        <v>1961439</v>
      </c>
      <c r="B16" s="57" t="s">
        <v>595</v>
      </c>
      <c r="C16" s="57" t="s">
        <v>596</v>
      </c>
      <c r="D16" s="57" t="s">
        <v>490</v>
      </c>
      <c r="E16" s="138">
        <v>7996</v>
      </c>
      <c r="F16" s="138">
        <v>0</v>
      </c>
      <c r="G16" s="57" t="s">
        <v>78</v>
      </c>
      <c r="H16" s="57" t="s">
        <v>79</v>
      </c>
      <c r="I16" s="58">
        <v>46162</v>
      </c>
      <c r="J16" s="58">
        <v>46163</v>
      </c>
      <c r="K16" s="59">
        <v>0.27777777777778001</v>
      </c>
      <c r="L16" s="59">
        <v>0.70083333333332998</v>
      </c>
      <c r="M16" s="57" t="s">
        <v>490</v>
      </c>
      <c r="N16" s="57" t="s">
        <v>558</v>
      </c>
      <c r="O16" s="58"/>
      <c r="P16" s="59"/>
      <c r="Q16" s="57"/>
      <c r="R16" s="57"/>
      <c r="S16" s="57"/>
      <c r="T16" s="57"/>
      <c r="U16" s="57"/>
    </row>
    <row r="17" spans="1:21" x14ac:dyDescent="0.25">
      <c r="A17" s="57">
        <v>1961444</v>
      </c>
      <c r="B17" s="57" t="s">
        <v>516</v>
      </c>
      <c r="C17" s="57" t="s">
        <v>797</v>
      </c>
      <c r="D17" s="57" t="s">
        <v>490</v>
      </c>
      <c r="E17" s="138">
        <v>7916</v>
      </c>
      <c r="F17" s="138">
        <v>0</v>
      </c>
      <c r="G17" s="57" t="s">
        <v>78</v>
      </c>
      <c r="H17" s="57" t="s">
        <v>79</v>
      </c>
      <c r="I17" s="58">
        <v>46163</v>
      </c>
      <c r="J17" s="58">
        <v>46164</v>
      </c>
      <c r="K17" s="59">
        <v>0.27777777777778001</v>
      </c>
      <c r="L17" s="59">
        <v>0.51159722222222004</v>
      </c>
      <c r="M17" s="57" t="s">
        <v>490</v>
      </c>
      <c r="N17" s="57" t="s">
        <v>558</v>
      </c>
      <c r="O17" s="58"/>
      <c r="P17" s="59"/>
      <c r="Q17" s="57"/>
      <c r="R17" s="57"/>
      <c r="S17" s="57"/>
      <c r="T17" s="57"/>
      <c r="U17" s="57"/>
    </row>
    <row r="18" spans="1:21" x14ac:dyDescent="0.25">
      <c r="A18" s="57">
        <v>1961432</v>
      </c>
      <c r="B18" s="57" t="s">
        <v>52</v>
      </c>
      <c r="C18" s="57" t="s">
        <v>53</v>
      </c>
      <c r="D18" s="57" t="s">
        <v>490</v>
      </c>
      <c r="E18" s="138">
        <v>7814</v>
      </c>
      <c r="F18" s="138">
        <v>0</v>
      </c>
      <c r="G18" s="57" t="s">
        <v>78</v>
      </c>
      <c r="H18" s="57" t="s">
        <v>79</v>
      </c>
      <c r="I18" s="58">
        <v>46163</v>
      </c>
      <c r="J18" s="58">
        <v>46164</v>
      </c>
      <c r="K18" s="59">
        <v>0.27777777777778001</v>
      </c>
      <c r="L18" s="59">
        <v>0.27957175925925998</v>
      </c>
      <c r="M18" s="57" t="s">
        <v>490</v>
      </c>
      <c r="N18" s="57" t="s">
        <v>558</v>
      </c>
      <c r="O18" s="58"/>
      <c r="P18" s="59"/>
      <c r="Q18" s="57"/>
      <c r="R18" s="57"/>
      <c r="S18" s="57"/>
      <c r="T18" s="57"/>
      <c r="U18" s="57"/>
    </row>
    <row r="19" spans="1:21" x14ac:dyDescent="0.25">
      <c r="A19" s="57">
        <v>1961434</v>
      </c>
      <c r="B19" s="57" t="s">
        <v>52</v>
      </c>
      <c r="C19" s="57" t="s">
        <v>53</v>
      </c>
      <c r="D19" s="57" t="s">
        <v>490</v>
      </c>
      <c r="E19" s="138">
        <v>7814</v>
      </c>
      <c r="F19" s="138">
        <v>0</v>
      </c>
      <c r="G19" s="57" t="s">
        <v>78</v>
      </c>
      <c r="H19" s="57" t="s">
        <v>79</v>
      </c>
      <c r="I19" s="58">
        <v>46164</v>
      </c>
      <c r="J19" s="58">
        <v>46165</v>
      </c>
      <c r="K19" s="59">
        <v>0.27777777777778001</v>
      </c>
      <c r="L19" s="59">
        <v>0.27957175925925998</v>
      </c>
      <c r="M19" s="57" t="s">
        <v>490</v>
      </c>
      <c r="N19" s="57" t="s">
        <v>558</v>
      </c>
      <c r="O19" s="58"/>
      <c r="P19" s="59"/>
      <c r="Q19" s="57"/>
      <c r="R19" s="57"/>
      <c r="S19" s="57"/>
      <c r="T19" s="57"/>
      <c r="U19" s="57"/>
    </row>
    <row r="20" spans="1:21" x14ac:dyDescent="0.25">
      <c r="A20" s="57">
        <v>1961437</v>
      </c>
      <c r="B20" s="57" t="s">
        <v>52</v>
      </c>
      <c r="C20" s="57" t="s">
        <v>53</v>
      </c>
      <c r="D20" s="57" t="s">
        <v>490</v>
      </c>
      <c r="E20" s="138">
        <v>7814</v>
      </c>
      <c r="F20" s="138">
        <v>0</v>
      </c>
      <c r="G20" s="57" t="s">
        <v>78</v>
      </c>
      <c r="H20" s="57" t="s">
        <v>79</v>
      </c>
      <c r="I20" s="58">
        <v>46165</v>
      </c>
      <c r="J20" s="58">
        <v>46167</v>
      </c>
      <c r="K20" s="59">
        <v>0.27777777777778001</v>
      </c>
      <c r="L20" s="59">
        <v>0.27957175925925998</v>
      </c>
      <c r="M20" s="57" t="s">
        <v>490</v>
      </c>
      <c r="N20" s="57" t="s">
        <v>558</v>
      </c>
      <c r="O20" s="58"/>
      <c r="P20" s="59"/>
      <c r="Q20" s="57"/>
      <c r="R20" s="57"/>
      <c r="S20" s="57"/>
      <c r="T20" s="57"/>
      <c r="U20" s="57"/>
    </row>
    <row r="21" spans="1:21" x14ac:dyDescent="0.25">
      <c r="A21" s="57">
        <v>1962561</v>
      </c>
      <c r="B21" s="57" t="s">
        <v>52</v>
      </c>
      <c r="C21" s="57" t="s">
        <v>53</v>
      </c>
      <c r="D21" s="57" t="s">
        <v>490</v>
      </c>
      <c r="E21" s="138">
        <v>7814</v>
      </c>
      <c r="F21" s="138">
        <v>0</v>
      </c>
      <c r="G21" s="57" t="s">
        <v>78</v>
      </c>
      <c r="H21" s="57" t="s">
        <v>79</v>
      </c>
      <c r="I21" s="58">
        <v>46167</v>
      </c>
      <c r="J21" s="58">
        <v>46168</v>
      </c>
      <c r="K21" s="59">
        <v>0.27777777777778001</v>
      </c>
      <c r="L21" s="59">
        <v>0.27957175925925998</v>
      </c>
      <c r="M21" s="57" t="s">
        <v>490</v>
      </c>
      <c r="N21" s="57" t="s">
        <v>558</v>
      </c>
      <c r="O21" s="58"/>
      <c r="P21" s="59"/>
      <c r="Q21" s="57"/>
      <c r="R21" s="57"/>
      <c r="S21" s="57"/>
      <c r="T21" s="57"/>
      <c r="U21" s="57"/>
    </row>
    <row r="22" spans="1:21" x14ac:dyDescent="0.25">
      <c r="A22" s="57">
        <v>1961440</v>
      </c>
      <c r="B22" s="57" t="s">
        <v>110</v>
      </c>
      <c r="C22" s="57" t="s">
        <v>111</v>
      </c>
      <c r="D22" s="57" t="s">
        <v>490</v>
      </c>
      <c r="E22" s="138">
        <v>7806</v>
      </c>
      <c r="F22" s="138">
        <v>0</v>
      </c>
      <c r="G22" s="57" t="s">
        <v>78</v>
      </c>
      <c r="H22" s="57" t="s">
        <v>79</v>
      </c>
      <c r="I22" s="58">
        <v>46167</v>
      </c>
      <c r="J22" s="58">
        <v>46168</v>
      </c>
      <c r="K22" s="59">
        <v>0.27777777777778001</v>
      </c>
      <c r="L22" s="59">
        <v>0.27854166666667002</v>
      </c>
      <c r="M22" s="57" t="s">
        <v>490</v>
      </c>
      <c r="N22" s="57" t="s">
        <v>558</v>
      </c>
      <c r="O22" s="58"/>
      <c r="P22" s="59"/>
      <c r="Q22" s="57"/>
      <c r="R22" s="57"/>
      <c r="S22" s="57"/>
      <c r="T22" s="57"/>
      <c r="U22" s="57"/>
    </row>
    <row r="23" spans="1:21" x14ac:dyDescent="0.25">
      <c r="A23" s="57">
        <v>1961442</v>
      </c>
      <c r="B23" s="57" t="s">
        <v>110</v>
      </c>
      <c r="C23" s="57" t="s">
        <v>111</v>
      </c>
      <c r="D23" s="57" t="s">
        <v>490</v>
      </c>
      <c r="E23" s="138">
        <v>7806</v>
      </c>
      <c r="F23" s="138">
        <v>0</v>
      </c>
      <c r="G23" s="57" t="s">
        <v>78</v>
      </c>
      <c r="H23" s="57" t="s">
        <v>79</v>
      </c>
      <c r="I23" s="58">
        <v>46168</v>
      </c>
      <c r="J23" s="58">
        <v>46169</v>
      </c>
      <c r="K23" s="59">
        <v>0.27777777777778001</v>
      </c>
      <c r="L23" s="59">
        <v>0.27854166666667002</v>
      </c>
      <c r="M23" s="57" t="s">
        <v>490</v>
      </c>
      <c r="N23" s="57" t="s">
        <v>558</v>
      </c>
      <c r="O23" s="58"/>
      <c r="P23" s="59"/>
      <c r="Q23" s="57"/>
      <c r="R23" s="57"/>
      <c r="S23" s="57"/>
      <c r="T23" s="57"/>
      <c r="U23" s="57"/>
    </row>
    <row r="24" spans="1:21" x14ac:dyDescent="0.25">
      <c r="A24" s="57">
        <v>1961445</v>
      </c>
      <c r="B24" s="57" t="s">
        <v>110</v>
      </c>
      <c r="C24" s="57" t="s">
        <v>111</v>
      </c>
      <c r="D24" s="57" t="s">
        <v>490</v>
      </c>
      <c r="E24" s="138">
        <v>7806</v>
      </c>
      <c r="F24" s="138">
        <v>0</v>
      </c>
      <c r="G24" s="57" t="s">
        <v>78</v>
      </c>
      <c r="H24" s="57" t="s">
        <v>79</v>
      </c>
      <c r="I24" s="58">
        <v>46169</v>
      </c>
      <c r="J24" s="58">
        <v>46170</v>
      </c>
      <c r="K24" s="59">
        <v>0.27777777777778001</v>
      </c>
      <c r="L24" s="59">
        <v>0.27854166666667002</v>
      </c>
      <c r="M24" s="57" t="s">
        <v>490</v>
      </c>
      <c r="N24" s="57" t="s">
        <v>558</v>
      </c>
      <c r="O24" s="58"/>
      <c r="P24" s="59"/>
      <c r="Q24" s="57"/>
      <c r="R24" s="57"/>
      <c r="S24" s="57"/>
      <c r="T24" s="57"/>
      <c r="U24" s="57"/>
    </row>
    <row r="25" spans="1:21" x14ac:dyDescent="0.25">
      <c r="A25" s="57">
        <v>1961447</v>
      </c>
      <c r="B25" s="57" t="s">
        <v>110</v>
      </c>
      <c r="C25" s="57" t="s">
        <v>111</v>
      </c>
      <c r="D25" s="57" t="s">
        <v>490</v>
      </c>
      <c r="E25" s="138">
        <v>7806</v>
      </c>
      <c r="F25" s="138">
        <v>0</v>
      </c>
      <c r="G25" s="57" t="s">
        <v>78</v>
      </c>
      <c r="H25" s="57" t="s">
        <v>79</v>
      </c>
      <c r="I25" s="58">
        <v>46170</v>
      </c>
      <c r="J25" s="58">
        <v>46171</v>
      </c>
      <c r="K25" s="59">
        <v>0.27777777777778001</v>
      </c>
      <c r="L25" s="59">
        <v>0.27854166666667002</v>
      </c>
      <c r="M25" s="57" t="s">
        <v>490</v>
      </c>
      <c r="N25" s="57" t="s">
        <v>558</v>
      </c>
      <c r="O25" s="58"/>
      <c r="P25" s="59"/>
      <c r="Q25" s="57"/>
      <c r="R25" s="57"/>
      <c r="S25" s="57"/>
      <c r="T25" s="57"/>
      <c r="U25" s="57"/>
    </row>
    <row r="26" spans="1:21" x14ac:dyDescent="0.25">
      <c r="A26" s="57">
        <v>1962547</v>
      </c>
      <c r="B26" s="57" t="s">
        <v>112</v>
      </c>
      <c r="C26" s="57" t="s">
        <v>113</v>
      </c>
      <c r="D26" s="57" t="s">
        <v>809</v>
      </c>
      <c r="E26" s="138">
        <v>7806</v>
      </c>
      <c r="F26" s="138">
        <v>0</v>
      </c>
      <c r="G26" s="57" t="s">
        <v>78</v>
      </c>
      <c r="H26" s="57" t="s">
        <v>79</v>
      </c>
      <c r="I26" s="58">
        <v>46149</v>
      </c>
      <c r="J26" s="58">
        <v>46150</v>
      </c>
      <c r="K26" s="59">
        <v>0.27777777777778001</v>
      </c>
      <c r="L26" s="59">
        <v>0.27854166666667002</v>
      </c>
      <c r="M26" s="57" t="s">
        <v>490</v>
      </c>
      <c r="N26" s="57" t="s">
        <v>810</v>
      </c>
      <c r="O26" s="58"/>
      <c r="P26" s="59"/>
      <c r="Q26" s="57"/>
      <c r="R26" s="57"/>
      <c r="S26" s="57"/>
      <c r="T26" s="57"/>
      <c r="U26" s="57"/>
    </row>
    <row r="27" spans="1:21" x14ac:dyDescent="0.25">
      <c r="A27" s="57">
        <v>1961428</v>
      </c>
      <c r="B27" s="57" t="s">
        <v>112</v>
      </c>
      <c r="C27" s="57" t="s">
        <v>113</v>
      </c>
      <c r="D27" s="57" t="s">
        <v>490</v>
      </c>
      <c r="E27" s="138">
        <v>7806</v>
      </c>
      <c r="F27" s="138">
        <v>0</v>
      </c>
      <c r="G27" s="57" t="s">
        <v>78</v>
      </c>
      <c r="H27" s="57" t="s">
        <v>79</v>
      </c>
      <c r="I27" s="58">
        <v>46150</v>
      </c>
      <c r="J27" s="58">
        <v>46151</v>
      </c>
      <c r="K27" s="59">
        <v>0.27777777777778001</v>
      </c>
      <c r="L27" s="59">
        <v>0.27854166666667002</v>
      </c>
      <c r="M27" s="57" t="s">
        <v>490</v>
      </c>
      <c r="N27" s="57" t="s">
        <v>558</v>
      </c>
      <c r="O27" s="58"/>
      <c r="P27" s="59"/>
      <c r="Q27" s="57"/>
      <c r="R27" s="57"/>
      <c r="S27" s="57"/>
      <c r="T27" s="57"/>
      <c r="U27" s="57"/>
    </row>
    <row r="28" spans="1:21" x14ac:dyDescent="0.25">
      <c r="A28" s="57">
        <v>1961430</v>
      </c>
      <c r="B28" s="57" t="s">
        <v>112</v>
      </c>
      <c r="C28" s="57" t="s">
        <v>113</v>
      </c>
      <c r="D28" s="57" t="s">
        <v>490</v>
      </c>
      <c r="E28" s="138">
        <v>7806</v>
      </c>
      <c r="F28" s="138">
        <v>0</v>
      </c>
      <c r="G28" s="57" t="s">
        <v>78</v>
      </c>
      <c r="H28" s="57" t="s">
        <v>79</v>
      </c>
      <c r="I28" s="58">
        <v>46151</v>
      </c>
      <c r="J28" s="58">
        <v>46153</v>
      </c>
      <c r="K28" s="59">
        <v>0.27777777777778001</v>
      </c>
      <c r="L28" s="59">
        <v>0.27854166666667002</v>
      </c>
      <c r="M28" s="57" t="s">
        <v>490</v>
      </c>
      <c r="N28" s="57" t="s">
        <v>558</v>
      </c>
      <c r="O28" s="58"/>
      <c r="P28" s="59"/>
      <c r="Q28" s="57"/>
      <c r="R28" s="57"/>
      <c r="S28" s="57"/>
      <c r="T28" s="57"/>
      <c r="U28" s="57"/>
    </row>
    <row r="29" spans="1:21" x14ac:dyDescent="0.25">
      <c r="A29" s="57">
        <v>1961423</v>
      </c>
      <c r="B29" s="57" t="s">
        <v>112</v>
      </c>
      <c r="C29" s="57" t="s">
        <v>113</v>
      </c>
      <c r="D29" s="57" t="s">
        <v>490</v>
      </c>
      <c r="E29" s="138">
        <v>5854</v>
      </c>
      <c r="F29" s="138">
        <v>0</v>
      </c>
      <c r="G29" s="57" t="s">
        <v>78</v>
      </c>
      <c r="H29" s="57" t="s">
        <v>79</v>
      </c>
      <c r="I29" s="58">
        <v>46153</v>
      </c>
      <c r="J29" s="58">
        <v>46154</v>
      </c>
      <c r="K29" s="59">
        <v>0.27777777777778001</v>
      </c>
      <c r="L29" s="59">
        <v>2.8287037037040001E-2</v>
      </c>
      <c r="M29" s="57" t="s">
        <v>490</v>
      </c>
      <c r="N29" s="57" t="s">
        <v>558</v>
      </c>
      <c r="O29" s="58"/>
      <c r="P29" s="59"/>
      <c r="Q29" s="57"/>
      <c r="R29" s="57"/>
      <c r="S29" s="57"/>
      <c r="T29" s="57"/>
      <c r="U29" s="57"/>
    </row>
    <row r="30" spans="1:21" x14ac:dyDescent="0.25">
      <c r="A30" s="57">
        <v>1961457</v>
      </c>
      <c r="B30" s="57" t="s">
        <v>116</v>
      </c>
      <c r="C30" s="57" t="s">
        <v>117</v>
      </c>
      <c r="D30" s="57" t="s">
        <v>490</v>
      </c>
      <c r="E30" s="138">
        <v>4116</v>
      </c>
      <c r="F30" s="138">
        <v>0</v>
      </c>
      <c r="G30" s="57" t="s">
        <v>78</v>
      </c>
      <c r="H30" s="57" t="s">
        <v>79</v>
      </c>
      <c r="I30" s="58">
        <v>46170</v>
      </c>
      <c r="J30" s="58">
        <v>46171</v>
      </c>
      <c r="K30" s="59">
        <v>0.27777777777778001</v>
      </c>
      <c r="L30" s="59">
        <v>0.24126157407407001</v>
      </c>
      <c r="M30" s="57" t="s">
        <v>490</v>
      </c>
      <c r="N30" s="57" t="s">
        <v>558</v>
      </c>
      <c r="O30" s="58"/>
      <c r="P30" s="59"/>
      <c r="Q30" s="57"/>
      <c r="R30" s="57"/>
      <c r="S30" s="57"/>
      <c r="T30" s="57"/>
      <c r="U30" s="57"/>
    </row>
    <row r="31" spans="1:21" x14ac:dyDescent="0.25">
      <c r="A31" s="57">
        <v>1961459</v>
      </c>
      <c r="B31" s="57" t="s">
        <v>116</v>
      </c>
      <c r="C31" s="57" t="s">
        <v>117</v>
      </c>
      <c r="D31" s="57" t="s">
        <v>490</v>
      </c>
      <c r="E31" s="138">
        <v>4116</v>
      </c>
      <c r="F31" s="138">
        <v>0</v>
      </c>
      <c r="G31" s="57" t="s">
        <v>78</v>
      </c>
      <c r="H31" s="57" t="s">
        <v>79</v>
      </c>
      <c r="I31" s="58">
        <v>46171</v>
      </c>
      <c r="J31" s="58">
        <v>46172</v>
      </c>
      <c r="K31" s="59">
        <v>0.27777777777778001</v>
      </c>
      <c r="L31" s="59">
        <v>0.24126157407407001</v>
      </c>
      <c r="M31" s="57" t="s">
        <v>490</v>
      </c>
      <c r="N31" s="57" t="s">
        <v>558</v>
      </c>
      <c r="O31" s="58"/>
      <c r="P31" s="59"/>
      <c r="Q31" s="57"/>
      <c r="R31" s="57"/>
      <c r="S31" s="57"/>
      <c r="T31" s="57"/>
      <c r="U31" s="57"/>
    </row>
    <row r="32" spans="1:21" x14ac:dyDescent="0.25">
      <c r="A32" s="57">
        <v>1961433</v>
      </c>
      <c r="B32" s="57" t="s">
        <v>118</v>
      </c>
      <c r="C32" s="57" t="s">
        <v>119</v>
      </c>
      <c r="D32" s="57" t="s">
        <v>490</v>
      </c>
      <c r="E32" s="138">
        <v>4116</v>
      </c>
      <c r="F32" s="138">
        <v>0</v>
      </c>
      <c r="G32" s="57" t="s">
        <v>78</v>
      </c>
      <c r="H32" s="57" t="s">
        <v>79</v>
      </c>
      <c r="I32" s="58">
        <v>46162</v>
      </c>
      <c r="J32" s="58">
        <v>46163</v>
      </c>
      <c r="K32" s="59">
        <v>0.27777777777778001</v>
      </c>
      <c r="L32" s="59">
        <v>0.24396990740741001</v>
      </c>
      <c r="M32" s="57" t="s">
        <v>490</v>
      </c>
      <c r="N32" s="57" t="s">
        <v>558</v>
      </c>
      <c r="O32" s="58"/>
      <c r="P32" s="59"/>
      <c r="Q32" s="57"/>
      <c r="R32" s="57"/>
      <c r="S32" s="57"/>
      <c r="T32" s="57"/>
      <c r="U32" s="57"/>
    </row>
    <row r="33" spans="1:21" x14ac:dyDescent="0.25">
      <c r="A33" s="57">
        <v>1959885</v>
      </c>
      <c r="B33" s="57" t="s">
        <v>118</v>
      </c>
      <c r="C33" s="57" t="s">
        <v>119</v>
      </c>
      <c r="D33" s="57" t="s">
        <v>490</v>
      </c>
      <c r="E33" s="138">
        <v>4116</v>
      </c>
      <c r="F33" s="138">
        <v>0</v>
      </c>
      <c r="G33" s="57" t="s">
        <v>78</v>
      </c>
      <c r="H33" s="57" t="s">
        <v>79</v>
      </c>
      <c r="I33" s="58">
        <v>46172</v>
      </c>
      <c r="J33" s="58">
        <v>46173</v>
      </c>
      <c r="K33" s="59">
        <v>0.27777777777778001</v>
      </c>
      <c r="L33" s="59">
        <v>0.24396990740741001</v>
      </c>
      <c r="M33" s="57" t="s">
        <v>490</v>
      </c>
      <c r="N33" s="57" t="s">
        <v>558</v>
      </c>
      <c r="O33" s="58"/>
      <c r="P33" s="59"/>
      <c r="Q33" s="57"/>
      <c r="R33" s="57"/>
      <c r="S33" s="57"/>
      <c r="T33" s="57"/>
      <c r="U33" s="57"/>
    </row>
    <row r="34" spans="1:21" x14ac:dyDescent="0.25">
      <c r="A34" s="57">
        <v>1959886</v>
      </c>
      <c r="B34" s="57" t="s">
        <v>118</v>
      </c>
      <c r="C34" s="57" t="s">
        <v>119</v>
      </c>
      <c r="D34" s="57" t="s">
        <v>490</v>
      </c>
      <c r="E34" s="138">
        <v>4116</v>
      </c>
      <c r="F34" s="138">
        <v>0</v>
      </c>
      <c r="G34" s="57" t="s">
        <v>78</v>
      </c>
      <c r="H34" s="57" t="s">
        <v>79</v>
      </c>
      <c r="I34" s="58">
        <v>46174</v>
      </c>
      <c r="J34" s="58">
        <v>46175</v>
      </c>
      <c r="K34" s="59">
        <v>0.27777777777778001</v>
      </c>
      <c r="L34" s="59">
        <v>0.24396990740741001</v>
      </c>
      <c r="M34" s="57" t="s">
        <v>490</v>
      </c>
      <c r="N34" s="57" t="s">
        <v>558</v>
      </c>
      <c r="O34" s="58"/>
      <c r="P34" s="59"/>
      <c r="Q34" s="57"/>
      <c r="R34" s="57"/>
      <c r="S34" s="57"/>
      <c r="T34" s="57"/>
      <c r="U34" s="57"/>
    </row>
    <row r="35" spans="1:21" x14ac:dyDescent="0.25">
      <c r="A35" s="57">
        <v>1962314</v>
      </c>
      <c r="B35" s="57" t="s">
        <v>528</v>
      </c>
      <c r="C35" s="57" t="s">
        <v>529</v>
      </c>
      <c r="D35" s="57" t="s">
        <v>490</v>
      </c>
      <c r="E35" s="138">
        <v>9600</v>
      </c>
      <c r="F35" s="138">
        <v>0</v>
      </c>
      <c r="G35" s="57" t="s">
        <v>78</v>
      </c>
      <c r="H35" s="57" t="s">
        <v>79</v>
      </c>
      <c r="I35" s="58">
        <v>46172</v>
      </c>
      <c r="J35" s="58">
        <v>46173</v>
      </c>
      <c r="K35" s="59">
        <v>0.27777777777778001</v>
      </c>
      <c r="L35" s="59">
        <v>4.701388888889E-2</v>
      </c>
      <c r="M35" s="57" t="s">
        <v>490</v>
      </c>
      <c r="N35" s="57" t="s">
        <v>558</v>
      </c>
      <c r="O35" s="58"/>
      <c r="P35" s="59"/>
      <c r="Q35" s="57"/>
      <c r="R35" s="57"/>
      <c r="S35" s="57"/>
      <c r="T35" s="57"/>
      <c r="U35" s="57"/>
    </row>
    <row r="36" spans="1:21" x14ac:dyDescent="0.25">
      <c r="A36" s="57">
        <v>1961407</v>
      </c>
      <c r="B36" s="57" t="s">
        <v>522</v>
      </c>
      <c r="C36" s="57" t="s">
        <v>523</v>
      </c>
      <c r="D36" s="57" t="s">
        <v>490</v>
      </c>
      <c r="E36" s="138">
        <v>9600</v>
      </c>
      <c r="F36" s="138">
        <v>0</v>
      </c>
      <c r="G36" s="57" t="s">
        <v>78</v>
      </c>
      <c r="H36" s="57" t="s">
        <v>79</v>
      </c>
      <c r="I36" s="58">
        <v>46170</v>
      </c>
      <c r="J36" s="58">
        <v>46171</v>
      </c>
      <c r="K36" s="59">
        <v>0.27777777777778001</v>
      </c>
      <c r="L36" s="59">
        <v>4.701388888889E-2</v>
      </c>
      <c r="M36" s="57" t="s">
        <v>490</v>
      </c>
      <c r="N36" s="57" t="s">
        <v>558</v>
      </c>
      <c r="O36" s="58"/>
      <c r="P36" s="59"/>
      <c r="Q36" s="57"/>
      <c r="R36" s="57"/>
      <c r="S36" s="57"/>
      <c r="T36" s="57"/>
      <c r="U36" s="57"/>
    </row>
    <row r="37" spans="1:21" x14ac:dyDescent="0.25">
      <c r="A37" s="57">
        <v>1961409</v>
      </c>
      <c r="B37" s="57" t="s">
        <v>522</v>
      </c>
      <c r="C37" s="57" t="s">
        <v>523</v>
      </c>
      <c r="D37" s="57" t="s">
        <v>490</v>
      </c>
      <c r="E37" s="138">
        <v>9600</v>
      </c>
      <c r="F37" s="138">
        <v>0</v>
      </c>
      <c r="G37" s="57" t="s">
        <v>78</v>
      </c>
      <c r="H37" s="57" t="s">
        <v>79</v>
      </c>
      <c r="I37" s="58">
        <v>46171</v>
      </c>
      <c r="J37" s="58">
        <v>46172</v>
      </c>
      <c r="K37" s="59">
        <v>0.27777777777778001</v>
      </c>
      <c r="L37" s="59">
        <v>4.701388888889E-2</v>
      </c>
      <c r="M37" s="57" t="s">
        <v>490</v>
      </c>
      <c r="N37" s="57" t="s">
        <v>558</v>
      </c>
      <c r="O37" s="58"/>
      <c r="P37" s="59"/>
      <c r="Q37" s="57"/>
      <c r="R37" s="57"/>
      <c r="S37" s="57"/>
      <c r="T37" s="57"/>
      <c r="U37" s="57"/>
    </row>
    <row r="38" spans="1:21" x14ac:dyDescent="0.25">
      <c r="A38" s="57">
        <v>1961386</v>
      </c>
      <c r="B38" s="57" t="s">
        <v>508</v>
      </c>
      <c r="C38" s="57" t="s">
        <v>509</v>
      </c>
      <c r="D38" s="57" t="s">
        <v>811</v>
      </c>
      <c r="E38" s="138">
        <v>9600</v>
      </c>
      <c r="F38" s="138">
        <v>0</v>
      </c>
      <c r="G38" s="57" t="s">
        <v>78</v>
      </c>
      <c r="H38" s="57" t="s">
        <v>79</v>
      </c>
      <c r="I38" s="58">
        <v>46151</v>
      </c>
      <c r="J38" s="58">
        <v>46152</v>
      </c>
      <c r="K38" s="59">
        <v>0.27777777777778001</v>
      </c>
      <c r="L38" s="59">
        <v>4.701388888889E-2</v>
      </c>
      <c r="M38" s="57" t="s">
        <v>490</v>
      </c>
      <c r="N38" s="57" t="s">
        <v>810</v>
      </c>
      <c r="O38" s="58"/>
      <c r="P38" s="59"/>
      <c r="Q38" s="57"/>
      <c r="R38" s="57"/>
      <c r="S38" s="57"/>
      <c r="T38" s="57"/>
      <c r="U38" s="57"/>
    </row>
    <row r="39" spans="1:21" x14ac:dyDescent="0.25">
      <c r="A39" s="57">
        <v>1961387</v>
      </c>
      <c r="B39" s="57" t="s">
        <v>508</v>
      </c>
      <c r="C39" s="57" t="s">
        <v>509</v>
      </c>
      <c r="D39" s="57" t="s">
        <v>490</v>
      </c>
      <c r="E39" s="138">
        <v>9600</v>
      </c>
      <c r="F39" s="138">
        <v>0</v>
      </c>
      <c r="G39" s="57" t="s">
        <v>78</v>
      </c>
      <c r="H39" s="57" t="s">
        <v>79</v>
      </c>
      <c r="I39" s="58">
        <v>46153</v>
      </c>
      <c r="J39" s="58">
        <v>46154</v>
      </c>
      <c r="K39" s="59">
        <v>0.27777777777778001</v>
      </c>
      <c r="L39" s="59">
        <v>4.701388888889E-2</v>
      </c>
      <c r="M39" s="57" t="s">
        <v>490</v>
      </c>
      <c r="N39" s="57" t="s">
        <v>558</v>
      </c>
      <c r="O39" s="58"/>
      <c r="P39" s="59"/>
      <c r="Q39" s="57"/>
      <c r="R39" s="57"/>
      <c r="S39" s="57"/>
      <c r="T39" s="57"/>
      <c r="U39" s="57"/>
    </row>
    <row r="40" spans="1:21" x14ac:dyDescent="0.25">
      <c r="A40" s="57">
        <v>1962532</v>
      </c>
      <c r="B40" s="57" t="s">
        <v>524</v>
      </c>
      <c r="C40" s="57" t="s">
        <v>525</v>
      </c>
      <c r="D40" s="57" t="s">
        <v>812</v>
      </c>
      <c r="E40" s="138">
        <v>9600</v>
      </c>
      <c r="F40" s="138">
        <v>9399</v>
      </c>
      <c r="G40" s="57" t="s">
        <v>78</v>
      </c>
      <c r="H40" s="57" t="s">
        <v>79</v>
      </c>
      <c r="I40" s="58">
        <v>46149</v>
      </c>
      <c r="J40" s="58">
        <v>46150</v>
      </c>
      <c r="K40" s="59">
        <v>0.27777777777778001</v>
      </c>
      <c r="L40" s="59">
        <v>4.701388888889E-2</v>
      </c>
      <c r="M40" s="57" t="s">
        <v>490</v>
      </c>
      <c r="N40" s="57" t="s">
        <v>813</v>
      </c>
      <c r="O40" s="58"/>
      <c r="P40" s="59"/>
      <c r="Q40" s="57"/>
      <c r="R40" s="57"/>
      <c r="S40" s="57"/>
      <c r="T40" s="57"/>
      <c r="U40" s="57"/>
    </row>
    <row r="41" spans="1:21" x14ac:dyDescent="0.25">
      <c r="A41" s="57">
        <v>1962552</v>
      </c>
      <c r="B41" s="57" t="s">
        <v>524</v>
      </c>
      <c r="C41" s="57" t="s">
        <v>525</v>
      </c>
      <c r="D41" s="57" t="s">
        <v>814</v>
      </c>
      <c r="E41" s="138">
        <v>9600</v>
      </c>
      <c r="F41" s="138">
        <v>8260</v>
      </c>
      <c r="G41" s="57" t="s">
        <v>78</v>
      </c>
      <c r="H41" s="57" t="s">
        <v>79</v>
      </c>
      <c r="I41" s="58">
        <v>46150</v>
      </c>
      <c r="J41" s="58">
        <v>46151</v>
      </c>
      <c r="K41" s="59">
        <v>0.27777777777778001</v>
      </c>
      <c r="L41" s="59">
        <v>4.701388888889E-2</v>
      </c>
      <c r="M41" s="57" t="s">
        <v>490</v>
      </c>
      <c r="N41" s="57" t="s">
        <v>813</v>
      </c>
      <c r="O41" s="58"/>
      <c r="P41" s="59"/>
      <c r="Q41" s="57"/>
      <c r="R41" s="57"/>
      <c r="S41" s="57"/>
      <c r="T41" s="57"/>
      <c r="U41" s="57"/>
    </row>
    <row r="42" spans="1:21" x14ac:dyDescent="0.25">
      <c r="A42" s="57">
        <v>1961774</v>
      </c>
      <c r="B42" s="57" t="s">
        <v>581</v>
      </c>
      <c r="C42" s="57" t="s">
        <v>582</v>
      </c>
      <c r="D42" s="57" t="s">
        <v>490</v>
      </c>
      <c r="E42" s="138">
        <v>2400</v>
      </c>
      <c r="F42" s="138">
        <v>0</v>
      </c>
      <c r="G42" s="57" t="s">
        <v>78</v>
      </c>
      <c r="H42" s="57" t="s">
        <v>798</v>
      </c>
      <c r="I42" s="58">
        <v>46172</v>
      </c>
      <c r="J42" s="58">
        <v>46172</v>
      </c>
      <c r="K42" s="59">
        <v>0.27777777777778001</v>
      </c>
      <c r="L42" s="59">
        <v>0.41327546296296003</v>
      </c>
      <c r="M42" s="57" t="s">
        <v>490</v>
      </c>
      <c r="N42" s="57" t="s">
        <v>558</v>
      </c>
      <c r="O42" s="58"/>
      <c r="P42" s="59"/>
      <c r="Q42" s="57"/>
      <c r="R42" s="57"/>
      <c r="S42" s="57"/>
      <c r="T42" s="57"/>
      <c r="U42" s="57"/>
    </row>
    <row r="43" spans="1:21" x14ac:dyDescent="0.25">
      <c r="A43" s="57">
        <v>1961406</v>
      </c>
      <c r="B43" s="57" t="s">
        <v>510</v>
      </c>
      <c r="C43" s="57" t="s">
        <v>511</v>
      </c>
      <c r="D43" s="57" t="s">
        <v>490</v>
      </c>
      <c r="E43" s="138">
        <v>9600</v>
      </c>
      <c r="F43" s="138">
        <v>0</v>
      </c>
      <c r="G43" s="57" t="s">
        <v>78</v>
      </c>
      <c r="H43" s="57" t="s">
        <v>79</v>
      </c>
      <c r="I43" s="58">
        <v>46168</v>
      </c>
      <c r="J43" s="58">
        <v>46168</v>
      </c>
      <c r="K43" s="59">
        <v>0.27777777777778001</v>
      </c>
      <c r="L43" s="59">
        <v>0.81325231481480997</v>
      </c>
      <c r="M43" s="57" t="s">
        <v>490</v>
      </c>
      <c r="N43" s="57" t="s">
        <v>558</v>
      </c>
      <c r="O43" s="58"/>
      <c r="P43" s="59"/>
      <c r="Q43" s="57"/>
      <c r="R43" s="57"/>
      <c r="S43" s="57"/>
      <c r="T43" s="57"/>
      <c r="U43" s="57"/>
    </row>
    <row r="44" spans="1:21" x14ac:dyDescent="0.25">
      <c r="A44" s="57">
        <v>1961408</v>
      </c>
      <c r="B44" s="57" t="s">
        <v>510</v>
      </c>
      <c r="C44" s="57" t="s">
        <v>511</v>
      </c>
      <c r="D44" s="57" t="s">
        <v>490</v>
      </c>
      <c r="E44" s="138">
        <v>9600</v>
      </c>
      <c r="F44" s="138">
        <v>0</v>
      </c>
      <c r="G44" s="57" t="s">
        <v>78</v>
      </c>
      <c r="H44" s="57" t="s">
        <v>79</v>
      </c>
      <c r="I44" s="58">
        <v>46169</v>
      </c>
      <c r="J44" s="58">
        <v>46169</v>
      </c>
      <c r="K44" s="59">
        <v>0.27777777777778001</v>
      </c>
      <c r="L44" s="59">
        <v>0.81325231481480997</v>
      </c>
      <c r="M44" s="57" t="s">
        <v>490</v>
      </c>
      <c r="N44" s="57" t="s">
        <v>558</v>
      </c>
      <c r="O44" s="58"/>
      <c r="P44" s="59"/>
      <c r="Q44" s="57"/>
      <c r="R44" s="57"/>
      <c r="S44" s="57"/>
      <c r="T44" s="57"/>
      <c r="U44" s="57"/>
    </row>
    <row r="45" spans="1:21" x14ac:dyDescent="0.25">
      <c r="A45" s="57">
        <v>1961382</v>
      </c>
      <c r="B45" s="57" t="s">
        <v>565</v>
      </c>
      <c r="C45" s="57" t="s">
        <v>566</v>
      </c>
      <c r="D45" s="57" t="s">
        <v>789</v>
      </c>
      <c r="E45" s="138">
        <v>9600</v>
      </c>
      <c r="F45" s="138">
        <v>9474</v>
      </c>
      <c r="G45" s="57" t="s">
        <v>78</v>
      </c>
      <c r="H45" s="57" t="s">
        <v>79</v>
      </c>
      <c r="I45" s="58">
        <v>46147</v>
      </c>
      <c r="J45" s="58">
        <v>46148</v>
      </c>
      <c r="K45" s="59">
        <v>0.65111111111110997</v>
      </c>
      <c r="L45" s="59">
        <v>0.38621527777777998</v>
      </c>
      <c r="M45" s="57" t="s">
        <v>490</v>
      </c>
      <c r="N45" s="57" t="s">
        <v>808</v>
      </c>
      <c r="O45" s="58"/>
      <c r="P45" s="59"/>
      <c r="Q45" s="57"/>
      <c r="R45" s="57"/>
      <c r="S45" s="57"/>
      <c r="T45" s="57"/>
      <c r="U45" s="57"/>
    </row>
    <row r="46" spans="1:21" x14ac:dyDescent="0.25">
      <c r="A46" s="57">
        <v>1961384</v>
      </c>
      <c r="B46" s="57" t="s">
        <v>565</v>
      </c>
      <c r="C46" s="57" t="s">
        <v>566</v>
      </c>
      <c r="D46" s="57" t="s">
        <v>790</v>
      </c>
      <c r="E46" s="138">
        <v>9600</v>
      </c>
      <c r="F46" s="138">
        <v>0</v>
      </c>
      <c r="G46" s="57" t="s">
        <v>78</v>
      </c>
      <c r="H46" s="57" t="s">
        <v>79</v>
      </c>
      <c r="I46" s="58">
        <v>46148</v>
      </c>
      <c r="J46" s="58">
        <v>46149</v>
      </c>
      <c r="K46" s="59">
        <v>0.27777777777778001</v>
      </c>
      <c r="L46" s="59">
        <v>4.701388888889E-2</v>
      </c>
      <c r="M46" s="57" t="s">
        <v>490</v>
      </c>
      <c r="N46" s="57" t="s">
        <v>799</v>
      </c>
      <c r="O46" s="58"/>
      <c r="P46" s="59"/>
      <c r="Q46" s="57"/>
      <c r="R46" s="57"/>
      <c r="S46" s="57"/>
      <c r="T46" s="57"/>
      <c r="U46" s="57"/>
    </row>
    <row r="47" spans="1:21" x14ac:dyDescent="0.25">
      <c r="A47" s="57">
        <v>1961399</v>
      </c>
      <c r="B47" s="57" t="s">
        <v>530</v>
      </c>
      <c r="C47" s="57" t="s">
        <v>531</v>
      </c>
      <c r="D47" s="57" t="s">
        <v>490</v>
      </c>
      <c r="E47" s="138">
        <v>9600</v>
      </c>
      <c r="F47" s="138">
        <v>0</v>
      </c>
      <c r="G47" s="57" t="s">
        <v>78</v>
      </c>
      <c r="H47" s="57" t="s">
        <v>79</v>
      </c>
      <c r="I47" s="58">
        <v>46164</v>
      </c>
      <c r="J47" s="58">
        <v>46165</v>
      </c>
      <c r="K47" s="59">
        <v>0.27777777777778001</v>
      </c>
      <c r="L47" s="59">
        <v>4.701388888889E-2</v>
      </c>
      <c r="M47" s="57" t="s">
        <v>490</v>
      </c>
      <c r="N47" s="57" t="s">
        <v>558</v>
      </c>
      <c r="O47" s="58"/>
      <c r="P47" s="59"/>
      <c r="Q47" s="57"/>
      <c r="R47" s="57"/>
      <c r="S47" s="57"/>
      <c r="T47" s="57"/>
      <c r="U47" s="57"/>
    </row>
    <row r="48" spans="1:21" x14ac:dyDescent="0.25">
      <c r="A48" s="57">
        <v>1961403</v>
      </c>
      <c r="B48" s="57" t="s">
        <v>530</v>
      </c>
      <c r="C48" s="57" t="s">
        <v>531</v>
      </c>
      <c r="D48" s="57" t="s">
        <v>490</v>
      </c>
      <c r="E48" s="138">
        <v>9600</v>
      </c>
      <c r="F48" s="138">
        <v>0</v>
      </c>
      <c r="G48" s="57" t="s">
        <v>78</v>
      </c>
      <c r="H48" s="57" t="s">
        <v>79</v>
      </c>
      <c r="I48" s="58">
        <v>46165</v>
      </c>
      <c r="J48" s="58">
        <v>46166</v>
      </c>
      <c r="K48" s="59">
        <v>0.27777777777778001</v>
      </c>
      <c r="L48" s="59">
        <v>4.701388888889E-2</v>
      </c>
      <c r="M48" s="57" t="s">
        <v>490</v>
      </c>
      <c r="N48" s="57" t="s">
        <v>558</v>
      </c>
      <c r="O48" s="58"/>
      <c r="P48" s="59"/>
      <c r="Q48" s="57"/>
      <c r="R48" s="57"/>
      <c r="S48" s="57"/>
      <c r="T48" s="57"/>
      <c r="U48" s="57"/>
    </row>
    <row r="49" spans="1:21" x14ac:dyDescent="0.25">
      <c r="A49" s="57">
        <v>1961404</v>
      </c>
      <c r="B49" s="57" t="s">
        <v>530</v>
      </c>
      <c r="C49" s="57" t="s">
        <v>531</v>
      </c>
      <c r="D49" s="57" t="s">
        <v>490</v>
      </c>
      <c r="E49" s="138">
        <v>9600</v>
      </c>
      <c r="F49" s="138">
        <v>0</v>
      </c>
      <c r="G49" s="57" t="s">
        <v>78</v>
      </c>
      <c r="H49" s="57" t="s">
        <v>79</v>
      </c>
      <c r="I49" s="58">
        <v>46167</v>
      </c>
      <c r="J49" s="58">
        <v>46168</v>
      </c>
      <c r="K49" s="59">
        <v>0.27777777777778001</v>
      </c>
      <c r="L49" s="59">
        <v>4.701388888889E-2</v>
      </c>
      <c r="M49" s="57" t="s">
        <v>490</v>
      </c>
      <c r="N49" s="57" t="s">
        <v>558</v>
      </c>
      <c r="O49" s="58"/>
      <c r="P49" s="59"/>
      <c r="Q49" s="57"/>
      <c r="R49" s="57"/>
      <c r="S49" s="57"/>
      <c r="T49" s="57"/>
      <c r="U49" s="57"/>
    </row>
    <row r="50" spans="1:21" x14ac:dyDescent="0.25">
      <c r="A50" s="57">
        <v>1961405</v>
      </c>
      <c r="B50" s="57" t="s">
        <v>530</v>
      </c>
      <c r="C50" s="57" t="s">
        <v>531</v>
      </c>
      <c r="D50" s="57" t="s">
        <v>490</v>
      </c>
      <c r="E50" s="138">
        <v>9600</v>
      </c>
      <c r="F50" s="138">
        <v>0</v>
      </c>
      <c r="G50" s="57" t="s">
        <v>78</v>
      </c>
      <c r="H50" s="57" t="s">
        <v>79</v>
      </c>
      <c r="I50" s="58">
        <v>46168</v>
      </c>
      <c r="J50" s="58">
        <v>46169</v>
      </c>
      <c r="K50" s="59">
        <v>0.27777777777778001</v>
      </c>
      <c r="L50" s="59">
        <v>4.701388888889E-2</v>
      </c>
      <c r="M50" s="57" t="s">
        <v>490</v>
      </c>
      <c r="N50" s="57" t="s">
        <v>558</v>
      </c>
      <c r="O50" s="58"/>
      <c r="P50" s="59"/>
      <c r="Q50" s="57"/>
      <c r="R50" s="57"/>
      <c r="S50" s="57"/>
      <c r="T50" s="57"/>
      <c r="U50" s="57"/>
    </row>
    <row r="51" spans="1:21" x14ac:dyDescent="0.25">
      <c r="A51" s="57">
        <v>1961391</v>
      </c>
      <c r="B51" s="57" t="s">
        <v>571</v>
      </c>
      <c r="C51" s="57" t="s">
        <v>572</v>
      </c>
      <c r="D51" s="57" t="s">
        <v>490</v>
      </c>
      <c r="E51" s="138">
        <v>9940</v>
      </c>
      <c r="F51" s="138">
        <v>0</v>
      </c>
      <c r="G51" s="57" t="s">
        <v>78</v>
      </c>
      <c r="H51" s="57" t="s">
        <v>79</v>
      </c>
      <c r="I51" s="58">
        <v>46157</v>
      </c>
      <c r="J51" s="58">
        <v>46158</v>
      </c>
      <c r="K51" s="59">
        <v>0.27777777777778001</v>
      </c>
      <c r="L51" s="59">
        <v>7.4247685185189996E-2</v>
      </c>
      <c r="M51" s="57" t="s">
        <v>490</v>
      </c>
      <c r="N51" s="57" t="s">
        <v>558</v>
      </c>
      <c r="O51" s="58"/>
      <c r="P51" s="59"/>
      <c r="Q51" s="57"/>
      <c r="R51" s="57"/>
      <c r="S51" s="57"/>
      <c r="T51" s="57"/>
      <c r="U51" s="57"/>
    </row>
    <row r="52" spans="1:21" x14ac:dyDescent="0.25">
      <c r="A52" s="57">
        <v>1961392</v>
      </c>
      <c r="B52" s="57" t="s">
        <v>571</v>
      </c>
      <c r="C52" s="57" t="s">
        <v>572</v>
      </c>
      <c r="D52" s="57" t="s">
        <v>490</v>
      </c>
      <c r="E52" s="138">
        <v>9940</v>
      </c>
      <c r="F52" s="138">
        <v>0</v>
      </c>
      <c r="G52" s="57" t="s">
        <v>78</v>
      </c>
      <c r="H52" s="57" t="s">
        <v>79</v>
      </c>
      <c r="I52" s="58">
        <v>46157</v>
      </c>
      <c r="J52" s="58">
        <v>46158</v>
      </c>
      <c r="K52" s="59">
        <v>0.27777777777778001</v>
      </c>
      <c r="L52" s="59">
        <v>7.4247685185189996E-2</v>
      </c>
      <c r="M52" s="57" t="s">
        <v>490</v>
      </c>
      <c r="N52" s="57" t="s">
        <v>558</v>
      </c>
      <c r="O52" s="58"/>
      <c r="P52" s="59"/>
      <c r="Q52" s="57"/>
      <c r="R52" s="57"/>
      <c r="S52" s="57"/>
      <c r="T52" s="57"/>
      <c r="U52" s="57"/>
    </row>
    <row r="53" spans="1:21" x14ac:dyDescent="0.25">
      <c r="A53" s="57">
        <v>1961389</v>
      </c>
      <c r="B53" s="57" t="s">
        <v>569</v>
      </c>
      <c r="C53" s="57" t="s">
        <v>570</v>
      </c>
      <c r="D53" s="57" t="s">
        <v>490</v>
      </c>
      <c r="E53" s="138">
        <v>9940</v>
      </c>
      <c r="F53" s="138">
        <v>0</v>
      </c>
      <c r="G53" s="57" t="s">
        <v>78</v>
      </c>
      <c r="H53" s="57" t="s">
        <v>79</v>
      </c>
      <c r="I53" s="58">
        <v>46155</v>
      </c>
      <c r="J53" s="58">
        <v>46156</v>
      </c>
      <c r="K53" s="59">
        <v>0.27777777777778001</v>
      </c>
      <c r="L53" s="59">
        <v>7.4247685185189996E-2</v>
      </c>
      <c r="M53" s="57" t="s">
        <v>490</v>
      </c>
      <c r="N53" s="57" t="s">
        <v>558</v>
      </c>
      <c r="O53" s="58"/>
      <c r="P53" s="59"/>
      <c r="Q53" s="57"/>
      <c r="R53" s="57"/>
      <c r="S53" s="57"/>
      <c r="T53" s="57"/>
      <c r="U53" s="57"/>
    </row>
    <row r="54" spans="1:21" x14ac:dyDescent="0.25">
      <c r="A54" s="57">
        <v>1961390</v>
      </c>
      <c r="B54" s="57" t="s">
        <v>569</v>
      </c>
      <c r="C54" s="57" t="s">
        <v>570</v>
      </c>
      <c r="D54" s="57" t="s">
        <v>490</v>
      </c>
      <c r="E54" s="138">
        <v>9940</v>
      </c>
      <c r="F54" s="138">
        <v>0</v>
      </c>
      <c r="G54" s="57" t="s">
        <v>78</v>
      </c>
      <c r="H54" s="57" t="s">
        <v>79</v>
      </c>
      <c r="I54" s="58">
        <v>46156</v>
      </c>
      <c r="J54" s="58">
        <v>46157</v>
      </c>
      <c r="K54" s="59">
        <v>0.27777777777778001</v>
      </c>
      <c r="L54" s="59">
        <v>7.4247685185189996E-2</v>
      </c>
      <c r="M54" s="57" t="s">
        <v>490</v>
      </c>
      <c r="N54" s="57" t="s">
        <v>558</v>
      </c>
      <c r="O54" s="58"/>
      <c r="P54" s="59"/>
      <c r="Q54" s="57"/>
      <c r="R54" s="57"/>
      <c r="S54" s="57"/>
      <c r="T54" s="57"/>
      <c r="U54" s="57"/>
    </row>
    <row r="55" spans="1:21" x14ac:dyDescent="0.25">
      <c r="A55" s="57">
        <v>1961395</v>
      </c>
      <c r="B55" s="57" t="s">
        <v>577</v>
      </c>
      <c r="C55" s="57" t="s">
        <v>578</v>
      </c>
      <c r="D55" s="57" t="s">
        <v>490</v>
      </c>
      <c r="E55" s="138">
        <v>9940</v>
      </c>
      <c r="F55" s="138">
        <v>0</v>
      </c>
      <c r="G55" s="57" t="s">
        <v>78</v>
      </c>
      <c r="H55" s="57" t="s">
        <v>79</v>
      </c>
      <c r="I55" s="58">
        <v>46161</v>
      </c>
      <c r="J55" s="58">
        <v>46162</v>
      </c>
      <c r="K55" s="59">
        <v>0.27777777777778001</v>
      </c>
      <c r="L55" s="59">
        <v>7.4247685185189996E-2</v>
      </c>
      <c r="M55" s="57" t="s">
        <v>490</v>
      </c>
      <c r="N55" s="57" t="s">
        <v>558</v>
      </c>
      <c r="O55" s="58"/>
      <c r="P55" s="59"/>
      <c r="Q55" s="57"/>
      <c r="R55" s="57"/>
      <c r="S55" s="57"/>
      <c r="T55" s="57"/>
      <c r="U55" s="57"/>
    </row>
    <row r="56" spans="1:21" x14ac:dyDescent="0.25">
      <c r="A56" s="57">
        <v>1961388</v>
      </c>
      <c r="B56" s="57" t="s">
        <v>567</v>
      </c>
      <c r="C56" s="57" t="s">
        <v>568</v>
      </c>
      <c r="D56" s="57" t="s">
        <v>490</v>
      </c>
      <c r="E56" s="138">
        <v>12425</v>
      </c>
      <c r="F56" s="138">
        <v>0</v>
      </c>
      <c r="G56" s="57" t="s">
        <v>78</v>
      </c>
      <c r="H56" s="57" t="s">
        <v>79</v>
      </c>
      <c r="I56" s="58">
        <v>46154</v>
      </c>
      <c r="J56" s="58">
        <v>46155</v>
      </c>
      <c r="K56" s="59">
        <v>0.27777777777778001</v>
      </c>
      <c r="L56" s="59">
        <v>0.27336805555555999</v>
      </c>
      <c r="M56" s="57" t="s">
        <v>490</v>
      </c>
      <c r="N56" s="57" t="s">
        <v>558</v>
      </c>
      <c r="O56" s="58"/>
      <c r="P56" s="59"/>
      <c r="Q56" s="57"/>
      <c r="R56" s="57"/>
      <c r="S56" s="57"/>
      <c r="T56" s="57"/>
      <c r="U56" s="57"/>
    </row>
    <row r="57" spans="1:21" x14ac:dyDescent="0.25">
      <c r="A57" s="57">
        <v>1961775</v>
      </c>
      <c r="B57" s="57" t="s">
        <v>583</v>
      </c>
      <c r="C57" s="57" t="s">
        <v>584</v>
      </c>
      <c r="D57" s="57" t="s">
        <v>490</v>
      </c>
      <c r="E57" s="138">
        <v>2485</v>
      </c>
      <c r="F57" s="138">
        <v>0</v>
      </c>
      <c r="G57" s="57" t="s">
        <v>78</v>
      </c>
      <c r="H57" s="57" t="s">
        <v>798</v>
      </c>
      <c r="I57" s="58">
        <v>46172</v>
      </c>
      <c r="J57" s="58">
        <v>46172</v>
      </c>
      <c r="K57" s="59">
        <v>0.27777777777778001</v>
      </c>
      <c r="L57" s="59">
        <v>0.41807870370369998</v>
      </c>
      <c r="M57" s="57" t="s">
        <v>490</v>
      </c>
      <c r="N57" s="57" t="s">
        <v>558</v>
      </c>
      <c r="O57" s="58"/>
      <c r="P57" s="59"/>
      <c r="Q57" s="57"/>
      <c r="R57" s="57"/>
      <c r="S57" s="57"/>
      <c r="T57" s="57"/>
      <c r="U57" s="57"/>
    </row>
    <row r="58" spans="1:21" x14ac:dyDescent="0.25">
      <c r="A58" s="57">
        <v>1961393</v>
      </c>
      <c r="B58" s="57" t="s">
        <v>573</v>
      </c>
      <c r="C58" s="57" t="s">
        <v>574</v>
      </c>
      <c r="D58" s="57" t="s">
        <v>490</v>
      </c>
      <c r="E58" s="138">
        <v>9940</v>
      </c>
      <c r="F58" s="138">
        <v>0</v>
      </c>
      <c r="G58" s="57" t="s">
        <v>78</v>
      </c>
      <c r="H58" s="57" t="s">
        <v>79</v>
      </c>
      <c r="I58" s="58">
        <v>46158</v>
      </c>
      <c r="J58" s="58">
        <v>46158</v>
      </c>
      <c r="K58" s="59">
        <v>0.27777777777778001</v>
      </c>
      <c r="L58" s="59">
        <v>0.83222222222221998</v>
      </c>
      <c r="M58" s="57" t="s">
        <v>490</v>
      </c>
      <c r="N58" s="57" t="s">
        <v>558</v>
      </c>
      <c r="O58" s="58"/>
      <c r="P58" s="59"/>
      <c r="Q58" s="57"/>
      <c r="R58" s="57"/>
      <c r="S58" s="57"/>
      <c r="T58" s="57"/>
      <c r="U58" s="57"/>
    </row>
    <row r="59" spans="1:21" x14ac:dyDescent="0.25">
      <c r="A59" s="57">
        <v>1961394</v>
      </c>
      <c r="B59" s="57" t="s">
        <v>575</v>
      </c>
      <c r="C59" s="57" t="s">
        <v>576</v>
      </c>
      <c r="D59" s="57" t="s">
        <v>490</v>
      </c>
      <c r="E59" s="138">
        <v>9940</v>
      </c>
      <c r="F59" s="138">
        <v>0</v>
      </c>
      <c r="G59" s="57" t="s">
        <v>78</v>
      </c>
      <c r="H59" s="57" t="s">
        <v>79</v>
      </c>
      <c r="I59" s="58">
        <v>46160</v>
      </c>
      <c r="J59" s="58">
        <v>46161</v>
      </c>
      <c r="K59" s="59">
        <v>0.27777777777778001</v>
      </c>
      <c r="L59" s="59">
        <v>7.4247685185189996E-2</v>
      </c>
      <c r="M59" s="57" t="s">
        <v>490</v>
      </c>
      <c r="N59" s="57" t="s">
        <v>558</v>
      </c>
      <c r="O59" s="58"/>
      <c r="P59" s="59"/>
      <c r="Q59" s="57"/>
      <c r="R59" s="57"/>
      <c r="S59" s="57"/>
      <c r="T59" s="57"/>
      <c r="U59" s="57"/>
    </row>
    <row r="60" spans="1:21" x14ac:dyDescent="0.25">
      <c r="A60" s="57">
        <v>1961396</v>
      </c>
      <c r="B60" s="57" t="s">
        <v>579</v>
      </c>
      <c r="C60" s="57" t="s">
        <v>580</v>
      </c>
      <c r="D60" s="57" t="s">
        <v>490</v>
      </c>
      <c r="E60" s="138">
        <v>9940</v>
      </c>
      <c r="F60" s="138">
        <v>0</v>
      </c>
      <c r="G60" s="57" t="s">
        <v>78</v>
      </c>
      <c r="H60" s="57" t="s">
        <v>79</v>
      </c>
      <c r="I60" s="58">
        <v>46162</v>
      </c>
      <c r="J60" s="58">
        <v>46163</v>
      </c>
      <c r="K60" s="59">
        <v>0.27777777777778001</v>
      </c>
      <c r="L60" s="59">
        <v>7.4247685185189996E-2</v>
      </c>
      <c r="M60" s="57" t="s">
        <v>490</v>
      </c>
      <c r="N60" s="57" t="s">
        <v>558</v>
      </c>
      <c r="O60" s="58"/>
      <c r="P60" s="59"/>
      <c r="Q60" s="57"/>
      <c r="R60" s="57"/>
      <c r="S60" s="57"/>
      <c r="T60" s="57"/>
      <c r="U60" s="57"/>
    </row>
    <row r="61" spans="1:21" x14ac:dyDescent="0.25">
      <c r="A61" s="57">
        <v>1960892</v>
      </c>
      <c r="B61" s="57" t="s">
        <v>612</v>
      </c>
      <c r="C61" s="57" t="s">
        <v>613</v>
      </c>
      <c r="D61" s="57" t="s">
        <v>815</v>
      </c>
      <c r="E61" s="138">
        <v>5380</v>
      </c>
      <c r="F61" s="138">
        <v>5089</v>
      </c>
      <c r="G61" s="57" t="s">
        <v>78</v>
      </c>
      <c r="H61" s="57" t="s">
        <v>79</v>
      </c>
      <c r="I61" s="58">
        <v>46149</v>
      </c>
      <c r="J61" s="58">
        <v>46150</v>
      </c>
      <c r="K61" s="59">
        <v>0.27777777777778001</v>
      </c>
      <c r="L61" s="59">
        <v>0.10802083333333</v>
      </c>
      <c r="M61" s="57" t="s">
        <v>490</v>
      </c>
      <c r="N61" s="57" t="s">
        <v>813</v>
      </c>
      <c r="O61" s="58"/>
      <c r="P61" s="59"/>
      <c r="Q61" s="57"/>
      <c r="R61" s="57"/>
      <c r="S61" s="57"/>
      <c r="T61" s="57"/>
      <c r="U61" s="57"/>
    </row>
    <row r="62" spans="1:21" x14ac:dyDescent="0.25">
      <c r="A62" s="57">
        <v>1960891</v>
      </c>
      <c r="B62" s="57" t="s">
        <v>610</v>
      </c>
      <c r="C62" s="57" t="s">
        <v>611</v>
      </c>
      <c r="D62" s="57" t="s">
        <v>788</v>
      </c>
      <c r="E62" s="138">
        <v>8070</v>
      </c>
      <c r="F62" s="138">
        <v>7755</v>
      </c>
      <c r="G62" s="57" t="s">
        <v>78</v>
      </c>
      <c r="H62" s="57" t="s">
        <v>79</v>
      </c>
      <c r="I62" s="58">
        <v>46147</v>
      </c>
      <c r="J62" s="58">
        <v>46148</v>
      </c>
      <c r="K62" s="59">
        <v>0.64583333333333004</v>
      </c>
      <c r="L62" s="59">
        <v>0.89120370370369995</v>
      </c>
      <c r="M62" s="57" t="s">
        <v>490</v>
      </c>
      <c r="N62" s="57" t="s">
        <v>796</v>
      </c>
      <c r="O62" s="58"/>
      <c r="P62" s="59"/>
      <c r="Q62" s="57"/>
      <c r="R62" s="57"/>
      <c r="S62" s="57"/>
      <c r="T62" s="57"/>
      <c r="U62" s="57"/>
    </row>
    <row r="63" spans="1:21" x14ac:dyDescent="0.25">
      <c r="A63" s="57">
        <v>1961366</v>
      </c>
      <c r="B63" s="57" t="s">
        <v>476</v>
      </c>
      <c r="C63" s="57" t="s">
        <v>563</v>
      </c>
      <c r="D63" s="57" t="s">
        <v>788</v>
      </c>
      <c r="E63" s="138">
        <v>2128</v>
      </c>
      <c r="F63" s="138">
        <v>2126</v>
      </c>
      <c r="G63" s="57" t="s">
        <v>78</v>
      </c>
      <c r="H63" s="57" t="s">
        <v>79</v>
      </c>
      <c r="I63" s="58">
        <v>46148</v>
      </c>
      <c r="J63" s="58">
        <v>46148</v>
      </c>
      <c r="K63" s="59">
        <v>0.40596064814815003</v>
      </c>
      <c r="L63" s="59">
        <v>0.82799768518519001</v>
      </c>
      <c r="M63" s="57" t="s">
        <v>490</v>
      </c>
      <c r="N63" s="57" t="s">
        <v>808</v>
      </c>
      <c r="O63" s="58"/>
      <c r="P63" s="59"/>
      <c r="Q63" s="57"/>
      <c r="R63" s="57"/>
      <c r="S63" s="57"/>
      <c r="T63" s="57"/>
      <c r="U63" s="57"/>
    </row>
    <row r="64" spans="1:21" x14ac:dyDescent="0.25">
      <c r="A64" s="57">
        <v>1961367</v>
      </c>
      <c r="B64" s="57" t="s">
        <v>476</v>
      </c>
      <c r="C64" s="57" t="s">
        <v>563</v>
      </c>
      <c r="D64" s="57" t="s">
        <v>815</v>
      </c>
      <c r="E64" s="138">
        <v>2128</v>
      </c>
      <c r="F64" s="138">
        <v>2100</v>
      </c>
      <c r="G64" s="57" t="s">
        <v>78</v>
      </c>
      <c r="H64" s="57" t="s">
        <v>79</v>
      </c>
      <c r="I64" s="58">
        <v>46148</v>
      </c>
      <c r="J64" s="58">
        <v>46148</v>
      </c>
      <c r="K64" s="59">
        <v>0.27777777777778001</v>
      </c>
      <c r="L64" s="59">
        <v>0.64266203703703995</v>
      </c>
      <c r="M64" s="57" t="s">
        <v>490</v>
      </c>
      <c r="N64" s="57" t="s">
        <v>813</v>
      </c>
      <c r="O64" s="58"/>
      <c r="P64" s="59"/>
      <c r="Q64" s="57"/>
      <c r="R64" s="57"/>
      <c r="S64" s="57"/>
      <c r="T64" s="57"/>
      <c r="U64" s="57"/>
    </row>
    <row r="65" spans="1:21" x14ac:dyDescent="0.25">
      <c r="A65" s="57">
        <v>1961368</v>
      </c>
      <c r="B65" s="57" t="s">
        <v>476</v>
      </c>
      <c r="C65" s="57" t="s">
        <v>563</v>
      </c>
      <c r="D65" s="57" t="s">
        <v>809</v>
      </c>
      <c r="E65" s="138">
        <v>2128</v>
      </c>
      <c r="F65" s="138">
        <v>774</v>
      </c>
      <c r="G65" s="57" t="s">
        <v>78</v>
      </c>
      <c r="H65" s="57" t="s">
        <v>79</v>
      </c>
      <c r="I65" s="58">
        <v>46149</v>
      </c>
      <c r="J65" s="58">
        <v>46149</v>
      </c>
      <c r="K65" s="59">
        <v>0.27777777777778001</v>
      </c>
      <c r="L65" s="59">
        <v>0.64266203703703995</v>
      </c>
      <c r="M65" s="57" t="s">
        <v>490</v>
      </c>
      <c r="N65" s="57" t="s">
        <v>813</v>
      </c>
      <c r="O65" s="58"/>
      <c r="P65" s="59"/>
      <c r="Q65" s="57"/>
      <c r="R65" s="57"/>
      <c r="S65" s="57"/>
      <c r="T65" s="57"/>
      <c r="U65" s="57"/>
    </row>
    <row r="66" spans="1:21" x14ac:dyDescent="0.25">
      <c r="A66" s="57">
        <v>1961413</v>
      </c>
      <c r="B66" s="57" t="s">
        <v>589</v>
      </c>
      <c r="C66" s="57" t="s">
        <v>590</v>
      </c>
      <c r="D66" s="57" t="s">
        <v>809</v>
      </c>
      <c r="E66" s="138">
        <v>6684</v>
      </c>
      <c r="F66" s="138">
        <v>0</v>
      </c>
      <c r="G66" s="57" t="s">
        <v>78</v>
      </c>
      <c r="H66" s="57" t="s">
        <v>79</v>
      </c>
      <c r="I66" s="58">
        <v>46149</v>
      </c>
      <c r="J66" s="58">
        <v>46150</v>
      </c>
      <c r="K66" s="59">
        <v>0.27777777777778001</v>
      </c>
      <c r="L66" s="59">
        <v>0.50640046296296004</v>
      </c>
      <c r="M66" s="57" t="s">
        <v>490</v>
      </c>
      <c r="N66" s="57" t="s">
        <v>799</v>
      </c>
      <c r="O66" s="58"/>
      <c r="P66" s="59"/>
      <c r="Q66" s="57"/>
      <c r="R66" s="57"/>
      <c r="S66" s="57"/>
      <c r="T66" s="57"/>
      <c r="U66" s="57"/>
    </row>
    <row r="67" spans="1:21" x14ac:dyDescent="0.25">
      <c r="A67" s="57">
        <v>1961416</v>
      </c>
      <c r="B67" s="57" t="s">
        <v>589</v>
      </c>
      <c r="C67" s="57" t="s">
        <v>590</v>
      </c>
      <c r="D67" s="57" t="s">
        <v>490</v>
      </c>
      <c r="E67" s="138">
        <v>5013</v>
      </c>
      <c r="F67" s="138">
        <v>0</v>
      </c>
      <c r="G67" s="57" t="s">
        <v>78</v>
      </c>
      <c r="H67" s="57" t="s">
        <v>79</v>
      </c>
      <c r="I67" s="58">
        <v>46151</v>
      </c>
      <c r="J67" s="58">
        <v>46151</v>
      </c>
      <c r="K67" s="59">
        <v>0.27777777777778001</v>
      </c>
      <c r="L67" s="59">
        <v>0.96486111111110995</v>
      </c>
      <c r="M67" s="57" t="s">
        <v>490</v>
      </c>
      <c r="N67" s="57" t="s">
        <v>558</v>
      </c>
      <c r="O67" s="58"/>
      <c r="P67" s="59"/>
      <c r="Q67" s="57"/>
      <c r="R67" s="57"/>
      <c r="S67" s="57"/>
      <c r="T67" s="57"/>
      <c r="U67" s="57"/>
    </row>
    <row r="68" spans="1:21" x14ac:dyDescent="0.25">
      <c r="A68" s="57">
        <v>1960857</v>
      </c>
      <c r="B68" s="57" t="s">
        <v>587</v>
      </c>
      <c r="C68" s="57" t="s">
        <v>588</v>
      </c>
      <c r="D68" s="57" t="s">
        <v>790</v>
      </c>
      <c r="E68" s="138">
        <v>6674</v>
      </c>
      <c r="F68" s="138">
        <v>6237</v>
      </c>
      <c r="G68" s="57" t="s">
        <v>78</v>
      </c>
      <c r="H68" s="57" t="s">
        <v>79</v>
      </c>
      <c r="I68" s="58">
        <v>46147</v>
      </c>
      <c r="J68" s="58">
        <v>46149</v>
      </c>
      <c r="K68" s="59">
        <v>0.90696759259258997</v>
      </c>
      <c r="L68" s="59">
        <v>0.44385416666666999</v>
      </c>
      <c r="M68" s="57" t="s">
        <v>490</v>
      </c>
      <c r="N68" s="57" t="s">
        <v>796</v>
      </c>
      <c r="O68" s="58"/>
      <c r="P68" s="59"/>
      <c r="Q68" s="57"/>
      <c r="R68" s="57"/>
      <c r="S68" s="57"/>
      <c r="T68" s="57"/>
      <c r="U68" s="57"/>
    </row>
    <row r="69" spans="1:21" x14ac:dyDescent="0.25">
      <c r="A69" s="57">
        <v>1960858</v>
      </c>
      <c r="B69" s="57" t="s">
        <v>587</v>
      </c>
      <c r="C69" s="57" t="s">
        <v>588</v>
      </c>
      <c r="D69" s="57" t="s">
        <v>815</v>
      </c>
      <c r="E69" s="138">
        <v>5005</v>
      </c>
      <c r="F69" s="138">
        <v>4831</v>
      </c>
      <c r="G69" s="57" t="s">
        <v>78</v>
      </c>
      <c r="H69" s="57" t="s">
        <v>79</v>
      </c>
      <c r="I69" s="58">
        <v>46148</v>
      </c>
      <c r="J69" s="58">
        <v>46148</v>
      </c>
      <c r="K69" s="59">
        <v>0.27777777777778001</v>
      </c>
      <c r="L69" s="59">
        <v>0.96377314814814996</v>
      </c>
      <c r="M69" s="57" t="s">
        <v>490</v>
      </c>
      <c r="N69" s="57" t="s">
        <v>813</v>
      </c>
      <c r="O69" s="58"/>
      <c r="P69" s="59"/>
      <c r="Q69" s="57"/>
      <c r="R69" s="57"/>
      <c r="S69" s="57"/>
      <c r="T69" s="57"/>
      <c r="U69" s="57"/>
    </row>
    <row r="70" spans="1:21" x14ac:dyDescent="0.25">
      <c r="A70" s="57">
        <v>1961451</v>
      </c>
      <c r="B70" s="57" t="s">
        <v>182</v>
      </c>
      <c r="C70" s="57" t="s">
        <v>183</v>
      </c>
      <c r="D70" s="57" t="s">
        <v>490</v>
      </c>
      <c r="E70" s="138">
        <v>4116</v>
      </c>
      <c r="F70" s="138">
        <v>0</v>
      </c>
      <c r="G70" s="57" t="s">
        <v>78</v>
      </c>
      <c r="H70" s="57" t="s">
        <v>79</v>
      </c>
      <c r="I70" s="58">
        <v>46168</v>
      </c>
      <c r="J70" s="58">
        <v>46169</v>
      </c>
      <c r="K70" s="59">
        <v>0.27777777777778001</v>
      </c>
      <c r="L70" s="59">
        <v>0.24396990740741001</v>
      </c>
      <c r="M70" s="57" t="s">
        <v>490</v>
      </c>
      <c r="N70" s="57" t="s">
        <v>558</v>
      </c>
      <c r="O70" s="58"/>
      <c r="P70" s="59"/>
      <c r="Q70" s="57"/>
      <c r="R70" s="57"/>
      <c r="S70" s="57"/>
      <c r="T70" s="57"/>
      <c r="U70" s="57"/>
    </row>
    <row r="71" spans="1:21" x14ac:dyDescent="0.25">
      <c r="A71" s="57">
        <v>1961454</v>
      </c>
      <c r="B71" s="57" t="s">
        <v>182</v>
      </c>
      <c r="C71" s="57" t="s">
        <v>183</v>
      </c>
      <c r="D71" s="57" t="s">
        <v>490</v>
      </c>
      <c r="E71" s="138">
        <v>4116</v>
      </c>
      <c r="F71" s="138">
        <v>0</v>
      </c>
      <c r="G71" s="57" t="s">
        <v>78</v>
      </c>
      <c r="H71" s="57" t="s">
        <v>79</v>
      </c>
      <c r="I71" s="58">
        <v>46169</v>
      </c>
      <c r="J71" s="58">
        <v>46170</v>
      </c>
      <c r="K71" s="59">
        <v>0.27777777777778001</v>
      </c>
      <c r="L71" s="59">
        <v>0.24396990740741001</v>
      </c>
      <c r="M71" s="57" t="s">
        <v>490</v>
      </c>
      <c r="N71" s="57" t="s">
        <v>558</v>
      </c>
      <c r="O71" s="58"/>
      <c r="P71" s="59"/>
      <c r="Q71" s="57"/>
      <c r="R71" s="57"/>
      <c r="S71" s="57"/>
      <c r="T71" s="57"/>
      <c r="U71" s="57"/>
    </row>
    <row r="72" spans="1:21" x14ac:dyDescent="0.25">
      <c r="A72" s="57">
        <v>1961446</v>
      </c>
      <c r="B72" s="57" t="s">
        <v>184</v>
      </c>
      <c r="C72" s="57" t="s">
        <v>185</v>
      </c>
      <c r="D72" s="57" t="s">
        <v>490</v>
      </c>
      <c r="E72" s="138">
        <v>4116</v>
      </c>
      <c r="F72" s="138">
        <v>0</v>
      </c>
      <c r="G72" s="57" t="s">
        <v>78</v>
      </c>
      <c r="H72" s="57" t="s">
        <v>79</v>
      </c>
      <c r="I72" s="58">
        <v>46165</v>
      </c>
      <c r="J72" s="58">
        <v>46166</v>
      </c>
      <c r="K72" s="59">
        <v>0.27777777777778001</v>
      </c>
      <c r="L72" s="59">
        <v>0.24396990740741001</v>
      </c>
      <c r="M72" s="57" t="s">
        <v>490</v>
      </c>
      <c r="N72" s="57" t="s">
        <v>558</v>
      </c>
      <c r="O72" s="58"/>
      <c r="P72" s="59"/>
      <c r="Q72" s="57"/>
      <c r="R72" s="57"/>
      <c r="S72" s="57"/>
      <c r="T72" s="57"/>
      <c r="U72" s="57"/>
    </row>
    <row r="73" spans="1:21" x14ac:dyDescent="0.25">
      <c r="A73" s="57">
        <v>1961448</v>
      </c>
      <c r="B73" s="57" t="s">
        <v>184</v>
      </c>
      <c r="C73" s="57" t="s">
        <v>185</v>
      </c>
      <c r="D73" s="57" t="s">
        <v>490</v>
      </c>
      <c r="E73" s="138">
        <v>4116</v>
      </c>
      <c r="F73" s="138">
        <v>0</v>
      </c>
      <c r="G73" s="57" t="s">
        <v>78</v>
      </c>
      <c r="H73" s="57" t="s">
        <v>79</v>
      </c>
      <c r="I73" s="58">
        <v>46167</v>
      </c>
      <c r="J73" s="58">
        <v>46168</v>
      </c>
      <c r="K73" s="59">
        <v>0.27777777777778001</v>
      </c>
      <c r="L73" s="59">
        <v>0.24396990740741001</v>
      </c>
      <c r="M73" s="57" t="s">
        <v>490</v>
      </c>
      <c r="N73" s="57" t="s">
        <v>558</v>
      </c>
      <c r="O73" s="58"/>
      <c r="P73" s="59"/>
      <c r="Q73" s="57"/>
      <c r="R73" s="57"/>
      <c r="S73" s="57"/>
      <c r="T73" s="57"/>
      <c r="U73" s="57"/>
    </row>
    <row r="74" spans="1:21" x14ac:dyDescent="0.25">
      <c r="A74" s="57">
        <v>1961441</v>
      </c>
      <c r="B74" s="57" t="s">
        <v>32</v>
      </c>
      <c r="C74" s="57" t="s">
        <v>33</v>
      </c>
      <c r="D74" s="57" t="s">
        <v>490</v>
      </c>
      <c r="E74" s="138">
        <v>4116</v>
      </c>
      <c r="F74" s="138">
        <v>0</v>
      </c>
      <c r="G74" s="57" t="s">
        <v>78</v>
      </c>
      <c r="H74" s="57" t="s">
        <v>79</v>
      </c>
      <c r="I74" s="58">
        <v>46163</v>
      </c>
      <c r="J74" s="58">
        <v>46164</v>
      </c>
      <c r="K74" s="59">
        <v>0.27777777777778001</v>
      </c>
      <c r="L74" s="59">
        <v>0.24670138888889001</v>
      </c>
      <c r="M74" s="57" t="s">
        <v>490</v>
      </c>
      <c r="N74" s="57" t="s">
        <v>558</v>
      </c>
      <c r="O74" s="58"/>
      <c r="P74" s="59"/>
      <c r="Q74" s="57"/>
      <c r="R74" s="57"/>
      <c r="S74" s="57"/>
      <c r="T74" s="57"/>
      <c r="U74" s="57"/>
    </row>
    <row r="75" spans="1:21" x14ac:dyDescent="0.25">
      <c r="A75" s="57">
        <v>1961443</v>
      </c>
      <c r="B75" s="57" t="s">
        <v>32</v>
      </c>
      <c r="C75" s="57" t="s">
        <v>33</v>
      </c>
      <c r="D75" s="57" t="s">
        <v>490</v>
      </c>
      <c r="E75" s="138">
        <v>4116</v>
      </c>
      <c r="F75" s="138">
        <v>0</v>
      </c>
      <c r="G75" s="57" t="s">
        <v>78</v>
      </c>
      <c r="H75" s="57" t="s">
        <v>79</v>
      </c>
      <c r="I75" s="58">
        <v>46164</v>
      </c>
      <c r="J75" s="58">
        <v>46165</v>
      </c>
      <c r="K75" s="59">
        <v>0.27777777777778001</v>
      </c>
      <c r="L75" s="59">
        <v>0.24670138888889001</v>
      </c>
      <c r="M75" s="57" t="s">
        <v>490</v>
      </c>
      <c r="N75" s="57" t="s">
        <v>558</v>
      </c>
      <c r="O75" s="58"/>
      <c r="P75" s="59"/>
      <c r="Q75" s="57"/>
      <c r="R75" s="57"/>
      <c r="S75" s="57"/>
      <c r="T75" s="57"/>
      <c r="U75" s="57"/>
    </row>
    <row r="76" spans="1:21" x14ac:dyDescent="0.25">
      <c r="A76" s="57">
        <v>1961468</v>
      </c>
      <c r="B76" s="57" t="s">
        <v>32</v>
      </c>
      <c r="C76" s="57" t="s">
        <v>33</v>
      </c>
      <c r="D76" s="57" t="s">
        <v>490</v>
      </c>
      <c r="E76" s="138">
        <v>4116</v>
      </c>
      <c r="F76" s="138">
        <v>0</v>
      </c>
      <c r="G76" s="57" t="s">
        <v>78</v>
      </c>
      <c r="H76" s="57" t="s">
        <v>79</v>
      </c>
      <c r="I76" s="58">
        <v>46175</v>
      </c>
      <c r="J76" s="58">
        <v>46176</v>
      </c>
      <c r="K76" s="59">
        <v>0.27777777777778001</v>
      </c>
      <c r="L76" s="59">
        <v>0.24670138888889001</v>
      </c>
      <c r="M76" s="57" t="s">
        <v>490</v>
      </c>
      <c r="N76" s="57" t="s">
        <v>558</v>
      </c>
      <c r="O76" s="58"/>
      <c r="P76" s="59"/>
      <c r="Q76" s="57"/>
      <c r="R76" s="57"/>
      <c r="S76" s="57"/>
      <c r="T76" s="57"/>
      <c r="U76" s="57"/>
    </row>
    <row r="77" spans="1:21" x14ac:dyDescent="0.25">
      <c r="A77" s="57">
        <v>1961435</v>
      </c>
      <c r="B77" s="57" t="s">
        <v>186</v>
      </c>
      <c r="C77" s="57" t="s">
        <v>187</v>
      </c>
      <c r="D77" s="57" t="s">
        <v>809</v>
      </c>
      <c r="E77" s="138">
        <v>4116</v>
      </c>
      <c r="F77" s="138">
        <v>0</v>
      </c>
      <c r="G77" s="57" t="s">
        <v>78</v>
      </c>
      <c r="H77" s="57" t="s">
        <v>79</v>
      </c>
      <c r="I77" s="58">
        <v>46150</v>
      </c>
      <c r="J77" s="58">
        <v>46151</v>
      </c>
      <c r="K77" s="59">
        <v>0.27777777777778001</v>
      </c>
      <c r="L77" s="59">
        <v>0.24396990740741001</v>
      </c>
      <c r="M77" s="57" t="s">
        <v>490</v>
      </c>
      <c r="N77" s="57" t="s">
        <v>816</v>
      </c>
      <c r="O77" s="58"/>
      <c r="P77" s="59"/>
      <c r="Q77" s="57"/>
      <c r="R77" s="57"/>
      <c r="S77" s="57"/>
      <c r="T77" s="57"/>
      <c r="U77" s="57"/>
    </row>
    <row r="78" spans="1:21" x14ac:dyDescent="0.25">
      <c r="A78" s="57">
        <v>1961438</v>
      </c>
      <c r="B78" s="57" t="s">
        <v>186</v>
      </c>
      <c r="C78" s="57" t="s">
        <v>187</v>
      </c>
      <c r="D78" s="57" t="s">
        <v>490</v>
      </c>
      <c r="E78" s="138">
        <v>4116</v>
      </c>
      <c r="F78" s="138">
        <v>0</v>
      </c>
      <c r="G78" s="57" t="s">
        <v>78</v>
      </c>
      <c r="H78" s="57" t="s">
        <v>79</v>
      </c>
      <c r="I78" s="58">
        <v>46151</v>
      </c>
      <c r="J78" s="58">
        <v>46152</v>
      </c>
      <c r="K78" s="59">
        <v>0.27777777777778001</v>
      </c>
      <c r="L78" s="59">
        <v>0.24396990740741001</v>
      </c>
      <c r="M78" s="57" t="s">
        <v>490</v>
      </c>
      <c r="N78" s="57" t="s">
        <v>558</v>
      </c>
      <c r="O78" s="58"/>
      <c r="P78" s="59"/>
      <c r="Q78" s="57"/>
      <c r="R78" s="57"/>
      <c r="S78" s="57"/>
      <c r="T78" s="57"/>
      <c r="U78" s="57"/>
    </row>
    <row r="79" spans="1:21" x14ac:dyDescent="0.25">
      <c r="A79" s="57">
        <v>1961462</v>
      </c>
      <c r="B79" s="57" t="s">
        <v>186</v>
      </c>
      <c r="C79" s="57" t="s">
        <v>187</v>
      </c>
      <c r="D79" s="57" t="s">
        <v>490</v>
      </c>
      <c r="E79" s="138">
        <v>4116</v>
      </c>
      <c r="F79" s="138">
        <v>0</v>
      </c>
      <c r="G79" s="57" t="s">
        <v>78</v>
      </c>
      <c r="H79" s="57" t="s">
        <v>79</v>
      </c>
      <c r="I79" s="58">
        <v>46153</v>
      </c>
      <c r="J79" s="58">
        <v>46154</v>
      </c>
      <c r="K79" s="59">
        <v>0.27777777777778001</v>
      </c>
      <c r="L79" s="59">
        <v>0.24396990740741001</v>
      </c>
      <c r="M79" s="57" t="s">
        <v>490</v>
      </c>
      <c r="N79" s="57" t="s">
        <v>558</v>
      </c>
      <c r="O79" s="58"/>
      <c r="P79" s="59"/>
      <c r="Q79" s="57"/>
      <c r="R79" s="57"/>
      <c r="S79" s="57"/>
      <c r="T79" s="57"/>
      <c r="U79" s="57"/>
    </row>
    <row r="80" spans="1:21" x14ac:dyDescent="0.25">
      <c r="A80" s="57">
        <v>1961465</v>
      </c>
      <c r="B80" s="57" t="s">
        <v>186</v>
      </c>
      <c r="C80" s="57" t="s">
        <v>187</v>
      </c>
      <c r="D80" s="57" t="s">
        <v>490</v>
      </c>
      <c r="E80" s="138">
        <v>4116</v>
      </c>
      <c r="F80" s="138">
        <v>0</v>
      </c>
      <c r="G80" s="57" t="s">
        <v>78</v>
      </c>
      <c r="H80" s="57" t="s">
        <v>79</v>
      </c>
      <c r="I80" s="58">
        <v>46154</v>
      </c>
      <c r="J80" s="58">
        <v>46155</v>
      </c>
      <c r="K80" s="59">
        <v>0.27777777777778001</v>
      </c>
      <c r="L80" s="59">
        <v>0.24396990740741001</v>
      </c>
      <c r="M80" s="57" t="s">
        <v>490</v>
      </c>
      <c r="N80" s="57" t="s">
        <v>558</v>
      </c>
      <c r="O80" s="58"/>
      <c r="P80" s="59"/>
      <c r="Q80" s="57"/>
      <c r="R80" s="57"/>
      <c r="S80" s="57"/>
      <c r="T80" s="57"/>
      <c r="U80" s="57"/>
    </row>
    <row r="81" spans="1:21" x14ac:dyDescent="0.25">
      <c r="A81" s="57">
        <v>1961417</v>
      </c>
      <c r="B81" s="57" t="s">
        <v>68</v>
      </c>
      <c r="C81" s="57" t="s">
        <v>69</v>
      </c>
      <c r="D81" s="57" t="s">
        <v>490</v>
      </c>
      <c r="E81" s="138">
        <v>7846</v>
      </c>
      <c r="F81" s="138">
        <v>0</v>
      </c>
      <c r="G81" s="57" t="s">
        <v>78</v>
      </c>
      <c r="H81" s="57" t="s">
        <v>79</v>
      </c>
      <c r="I81" s="58">
        <v>46154</v>
      </c>
      <c r="J81" s="58">
        <v>46155</v>
      </c>
      <c r="K81" s="59">
        <v>0.27777777777778001</v>
      </c>
      <c r="L81" s="59">
        <v>0.47967592592593</v>
      </c>
      <c r="M81" s="57" t="s">
        <v>490</v>
      </c>
      <c r="N81" s="57" t="s">
        <v>558</v>
      </c>
      <c r="O81" s="58"/>
      <c r="P81" s="59"/>
      <c r="Q81" s="57"/>
      <c r="R81" s="57"/>
      <c r="S81" s="57"/>
      <c r="T81" s="57"/>
      <c r="U81" s="57"/>
    </row>
    <row r="82" spans="1:21" x14ac:dyDescent="0.25">
      <c r="A82" s="57">
        <v>1961420</v>
      </c>
      <c r="B82" s="57" t="s">
        <v>68</v>
      </c>
      <c r="C82" s="57" t="s">
        <v>69</v>
      </c>
      <c r="D82" s="57" t="s">
        <v>490</v>
      </c>
      <c r="E82" s="138">
        <v>7846</v>
      </c>
      <c r="F82" s="138">
        <v>0</v>
      </c>
      <c r="G82" s="57" t="s">
        <v>78</v>
      </c>
      <c r="H82" s="57" t="s">
        <v>79</v>
      </c>
      <c r="I82" s="58">
        <v>46155</v>
      </c>
      <c r="J82" s="58">
        <v>46156</v>
      </c>
      <c r="K82" s="59">
        <v>0.27777777777778001</v>
      </c>
      <c r="L82" s="59">
        <v>0.47967592592593</v>
      </c>
      <c r="M82" s="57" t="s">
        <v>490</v>
      </c>
      <c r="N82" s="57" t="s">
        <v>558</v>
      </c>
      <c r="O82" s="58"/>
      <c r="P82" s="59"/>
      <c r="Q82" s="57"/>
      <c r="R82" s="57"/>
      <c r="S82" s="57"/>
      <c r="T82" s="57"/>
      <c r="U82" s="57"/>
    </row>
    <row r="83" spans="1:21" x14ac:dyDescent="0.25">
      <c r="A83" s="57">
        <v>1961400</v>
      </c>
      <c r="B83" s="57" t="s">
        <v>371</v>
      </c>
      <c r="C83" s="57" t="s">
        <v>372</v>
      </c>
      <c r="D83" s="57" t="s">
        <v>490</v>
      </c>
      <c r="E83" s="138">
        <v>7800</v>
      </c>
      <c r="F83" s="138">
        <v>0</v>
      </c>
      <c r="G83" s="57" t="s">
        <v>78</v>
      </c>
      <c r="H83" s="57" t="s">
        <v>79</v>
      </c>
      <c r="I83" s="58">
        <v>46164</v>
      </c>
      <c r="J83" s="58">
        <v>46164</v>
      </c>
      <c r="K83" s="59">
        <v>0.27777777777778001</v>
      </c>
      <c r="L83" s="59">
        <v>0.90277777777778001</v>
      </c>
      <c r="M83" s="57" t="s">
        <v>490</v>
      </c>
      <c r="N83" s="57" t="s">
        <v>558</v>
      </c>
      <c r="O83" s="58"/>
      <c r="P83" s="59"/>
      <c r="Q83" s="57"/>
      <c r="R83" s="57"/>
      <c r="S83" s="57"/>
      <c r="T83" s="57"/>
      <c r="U83" s="57"/>
    </row>
    <row r="84" spans="1:21" x14ac:dyDescent="0.25">
      <c r="A84" s="57">
        <v>1961398</v>
      </c>
      <c r="B84" s="57" t="s">
        <v>375</v>
      </c>
      <c r="C84" s="57" t="s">
        <v>376</v>
      </c>
      <c r="D84" s="57" t="s">
        <v>490</v>
      </c>
      <c r="E84" s="138">
        <v>7200</v>
      </c>
      <c r="F84" s="138">
        <v>0</v>
      </c>
      <c r="G84" s="57" t="s">
        <v>78</v>
      </c>
      <c r="H84" s="57" t="s">
        <v>79</v>
      </c>
      <c r="I84" s="58">
        <v>46163</v>
      </c>
      <c r="J84" s="58">
        <v>46163</v>
      </c>
      <c r="K84" s="59">
        <v>0.27777777777778001</v>
      </c>
      <c r="L84" s="59">
        <v>0.85469907407406998</v>
      </c>
      <c r="M84" s="57" t="s">
        <v>490</v>
      </c>
      <c r="N84" s="57" t="s">
        <v>558</v>
      </c>
      <c r="O84" s="58"/>
      <c r="P84" s="59"/>
      <c r="Q84" s="57"/>
      <c r="R84" s="57"/>
      <c r="S84" s="57"/>
      <c r="T84" s="57"/>
      <c r="U84" s="57"/>
    </row>
    <row r="85" spans="1:21" x14ac:dyDescent="0.25">
      <c r="A85" s="57">
        <v>1961402</v>
      </c>
      <c r="B85" s="57" t="s">
        <v>375</v>
      </c>
      <c r="C85" s="57" t="s">
        <v>376</v>
      </c>
      <c r="D85" s="57" t="s">
        <v>490</v>
      </c>
      <c r="E85" s="138">
        <v>4800</v>
      </c>
      <c r="F85" s="138">
        <v>0</v>
      </c>
      <c r="G85" s="57" t="s">
        <v>78</v>
      </c>
      <c r="H85" s="57" t="s">
        <v>79</v>
      </c>
      <c r="I85" s="58">
        <v>46163</v>
      </c>
      <c r="J85" s="58">
        <v>46163</v>
      </c>
      <c r="K85" s="59">
        <v>0.27777777777778001</v>
      </c>
      <c r="L85" s="59">
        <v>0.66239583333332996</v>
      </c>
      <c r="M85" s="57" t="s">
        <v>490</v>
      </c>
      <c r="N85" s="57" t="s">
        <v>558</v>
      </c>
      <c r="O85" s="58"/>
      <c r="P85" s="59"/>
      <c r="Q85" s="57"/>
      <c r="R85" s="57"/>
      <c r="S85" s="57"/>
      <c r="T85" s="57"/>
      <c r="U85" s="57"/>
    </row>
    <row r="86" spans="1:21" x14ac:dyDescent="0.25">
      <c r="A86" s="57">
        <v>1961401</v>
      </c>
      <c r="B86" s="57" t="s">
        <v>377</v>
      </c>
      <c r="C86" s="57" t="s">
        <v>378</v>
      </c>
      <c r="D86" s="57" t="s">
        <v>490</v>
      </c>
      <c r="E86" s="138">
        <v>3900</v>
      </c>
      <c r="F86" s="138">
        <v>0</v>
      </c>
      <c r="G86" s="57" t="s">
        <v>78</v>
      </c>
      <c r="H86" s="57" t="s">
        <v>79</v>
      </c>
      <c r="I86" s="58">
        <v>46164</v>
      </c>
      <c r="J86" s="58">
        <v>46164</v>
      </c>
      <c r="K86" s="59">
        <v>0.27777777777778001</v>
      </c>
      <c r="L86" s="59">
        <v>0.59027777777778001</v>
      </c>
      <c r="M86" s="57" t="s">
        <v>490</v>
      </c>
      <c r="N86" s="57" t="s">
        <v>558</v>
      </c>
      <c r="O86" s="58"/>
      <c r="P86" s="59"/>
      <c r="Q86" s="57"/>
      <c r="R86" s="57"/>
      <c r="S86" s="57"/>
      <c r="T86" s="57"/>
      <c r="U86" s="57"/>
    </row>
    <row r="87" spans="1:21" x14ac:dyDescent="0.25">
      <c r="A87" s="57">
        <v>1961397</v>
      </c>
      <c r="B87" s="57" t="s">
        <v>379</v>
      </c>
      <c r="C87" s="57" t="s">
        <v>380</v>
      </c>
      <c r="D87" s="57" t="s">
        <v>490</v>
      </c>
      <c r="E87" s="138">
        <v>2400</v>
      </c>
      <c r="F87" s="138">
        <v>0</v>
      </c>
      <c r="G87" s="57" t="s">
        <v>78</v>
      </c>
      <c r="H87" s="57" t="s">
        <v>79</v>
      </c>
      <c r="I87" s="58">
        <v>46162</v>
      </c>
      <c r="J87" s="58">
        <v>46162</v>
      </c>
      <c r="K87" s="59">
        <v>0.27777777777778001</v>
      </c>
      <c r="L87" s="59">
        <v>0.47008101851852002</v>
      </c>
      <c r="M87" s="57" t="s">
        <v>490</v>
      </c>
      <c r="N87" s="57" t="s">
        <v>558</v>
      </c>
      <c r="O87" s="58"/>
      <c r="P87" s="59"/>
      <c r="Q87" s="57"/>
      <c r="R87" s="57"/>
      <c r="S87" s="57"/>
      <c r="T87" s="57"/>
      <c r="U87" s="57"/>
    </row>
    <row r="88" spans="1:21" x14ac:dyDescent="0.25">
      <c r="A88" s="57">
        <v>1961419</v>
      </c>
      <c r="B88" s="57" t="s">
        <v>591</v>
      </c>
      <c r="C88" s="57" t="s">
        <v>592</v>
      </c>
      <c r="D88" s="57" t="s">
        <v>490</v>
      </c>
      <c r="E88" s="138">
        <v>7996</v>
      </c>
      <c r="F88" s="138">
        <v>0</v>
      </c>
      <c r="G88" s="57" t="s">
        <v>78</v>
      </c>
      <c r="H88" s="57" t="s">
        <v>79</v>
      </c>
      <c r="I88" s="58">
        <v>46153</v>
      </c>
      <c r="J88" s="58">
        <v>46154</v>
      </c>
      <c r="K88" s="59">
        <v>0.27777777777778001</v>
      </c>
      <c r="L88" s="59">
        <v>0.70083333333332998</v>
      </c>
      <c r="M88" s="57" t="s">
        <v>490</v>
      </c>
      <c r="N88" s="57" t="s">
        <v>558</v>
      </c>
      <c r="O88" s="58"/>
      <c r="P88" s="59"/>
      <c r="Q88" s="57"/>
      <c r="R88" s="57"/>
      <c r="S88" s="57"/>
      <c r="T88" s="57"/>
      <c r="U88" s="57"/>
    </row>
    <row r="89" spans="1:21" x14ac:dyDescent="0.25">
      <c r="A89" s="57">
        <v>1961422</v>
      </c>
      <c r="B89" s="57" t="s">
        <v>591</v>
      </c>
      <c r="C89" s="57" t="s">
        <v>592</v>
      </c>
      <c r="D89" s="57" t="s">
        <v>490</v>
      </c>
      <c r="E89" s="138">
        <v>7996</v>
      </c>
      <c r="F89" s="138">
        <v>0</v>
      </c>
      <c r="G89" s="57" t="s">
        <v>78</v>
      </c>
      <c r="H89" s="57" t="s">
        <v>79</v>
      </c>
      <c r="I89" s="58">
        <v>46154</v>
      </c>
      <c r="J89" s="58">
        <v>46155</v>
      </c>
      <c r="K89" s="59">
        <v>0.27777777777778001</v>
      </c>
      <c r="L89" s="59">
        <v>0.70083333333332998</v>
      </c>
      <c r="M89" s="57" t="s">
        <v>490</v>
      </c>
      <c r="N89" s="57" t="s">
        <v>558</v>
      </c>
      <c r="O89" s="58"/>
      <c r="P89" s="59"/>
      <c r="Q89" s="57"/>
      <c r="R89" s="57"/>
      <c r="S89" s="57"/>
      <c r="T89" s="57"/>
      <c r="U89" s="57"/>
    </row>
    <row r="90" spans="1:21" x14ac:dyDescent="0.25">
      <c r="A90" s="57">
        <v>1961466</v>
      </c>
      <c r="B90" s="57" t="s">
        <v>520</v>
      </c>
      <c r="C90" s="57" t="s">
        <v>800</v>
      </c>
      <c r="D90" s="57" t="s">
        <v>490</v>
      </c>
      <c r="E90" s="138">
        <v>7916</v>
      </c>
      <c r="F90" s="138">
        <v>0</v>
      </c>
      <c r="G90" s="57" t="s">
        <v>78</v>
      </c>
      <c r="H90" s="57" t="s">
        <v>79</v>
      </c>
      <c r="I90" s="58">
        <v>46169</v>
      </c>
      <c r="J90" s="58">
        <v>46170</v>
      </c>
      <c r="K90" s="59">
        <v>0.27777777777778001</v>
      </c>
      <c r="L90" s="59">
        <v>0.51159722222222004</v>
      </c>
      <c r="M90" s="57" t="s">
        <v>490</v>
      </c>
      <c r="N90" s="57" t="s">
        <v>558</v>
      </c>
      <c r="O90" s="58"/>
      <c r="P90" s="59"/>
      <c r="Q90" s="57"/>
      <c r="R90" s="57"/>
      <c r="S90" s="57"/>
      <c r="T90" s="57"/>
      <c r="U90" s="57"/>
    </row>
    <row r="91" spans="1:21" x14ac:dyDescent="0.25">
      <c r="A91" s="57">
        <v>1961429</v>
      </c>
      <c r="B91" s="57" t="s">
        <v>593</v>
      </c>
      <c r="C91" s="57" t="s">
        <v>594</v>
      </c>
      <c r="D91" s="57" t="s">
        <v>490</v>
      </c>
      <c r="E91" s="138">
        <v>7996</v>
      </c>
      <c r="F91" s="138">
        <v>0</v>
      </c>
      <c r="G91" s="57" t="s">
        <v>78</v>
      </c>
      <c r="H91" s="57" t="s">
        <v>79</v>
      </c>
      <c r="I91" s="58">
        <v>46156</v>
      </c>
      <c r="J91" s="58">
        <v>46157</v>
      </c>
      <c r="K91" s="59">
        <v>0.27777777777778001</v>
      </c>
      <c r="L91" s="59">
        <v>0.70083333333332998</v>
      </c>
      <c r="M91" s="57" t="s">
        <v>490</v>
      </c>
      <c r="N91" s="57" t="s">
        <v>558</v>
      </c>
      <c r="O91" s="58"/>
      <c r="P91" s="59"/>
      <c r="Q91" s="57"/>
      <c r="R91" s="57"/>
      <c r="S91" s="57"/>
      <c r="T91" s="57"/>
      <c r="U91" s="57"/>
    </row>
    <row r="92" spans="1:21" x14ac:dyDescent="0.25">
      <c r="A92" s="57">
        <v>1961431</v>
      </c>
      <c r="B92" s="57" t="s">
        <v>593</v>
      </c>
      <c r="C92" s="57" t="s">
        <v>594</v>
      </c>
      <c r="D92" s="57" t="s">
        <v>490</v>
      </c>
      <c r="E92" s="138">
        <v>7996</v>
      </c>
      <c r="F92" s="138">
        <v>0</v>
      </c>
      <c r="G92" s="57" t="s">
        <v>78</v>
      </c>
      <c r="H92" s="57" t="s">
        <v>79</v>
      </c>
      <c r="I92" s="58">
        <v>46157</v>
      </c>
      <c r="J92" s="58">
        <v>46158</v>
      </c>
      <c r="K92" s="59">
        <v>0.27777777777778001</v>
      </c>
      <c r="L92" s="59">
        <v>0.70083333333332998</v>
      </c>
      <c r="M92" s="57" t="s">
        <v>490</v>
      </c>
      <c r="N92" s="57" t="s">
        <v>558</v>
      </c>
      <c r="O92" s="58"/>
      <c r="P92" s="59"/>
      <c r="Q92" s="57"/>
      <c r="R92" s="57"/>
      <c r="S92" s="57"/>
      <c r="T92" s="57"/>
      <c r="U92" s="57"/>
    </row>
    <row r="93" spans="1:21" x14ac:dyDescent="0.25">
      <c r="A93" s="57">
        <v>1961449</v>
      </c>
      <c r="B93" s="57" t="s">
        <v>597</v>
      </c>
      <c r="C93" s="57" t="s">
        <v>801</v>
      </c>
      <c r="D93" s="57" t="s">
        <v>490</v>
      </c>
      <c r="E93" s="138">
        <v>7916</v>
      </c>
      <c r="F93" s="138">
        <v>0</v>
      </c>
      <c r="G93" s="57" t="s">
        <v>78</v>
      </c>
      <c r="H93" s="57" t="s">
        <v>79</v>
      </c>
      <c r="I93" s="58">
        <v>46164</v>
      </c>
      <c r="J93" s="58">
        <v>46165</v>
      </c>
      <c r="K93" s="59">
        <v>0.27777777777778001</v>
      </c>
      <c r="L93" s="59">
        <v>0.51159722222222004</v>
      </c>
      <c r="M93" s="57" t="s">
        <v>490</v>
      </c>
      <c r="N93" s="57" t="s">
        <v>558</v>
      </c>
      <c r="O93" s="58"/>
      <c r="P93" s="59"/>
      <c r="Q93" s="57"/>
      <c r="R93" s="57"/>
      <c r="S93" s="57"/>
      <c r="T93" s="57"/>
      <c r="U93" s="57"/>
    </row>
    <row r="94" spans="1:21" x14ac:dyDescent="0.25">
      <c r="A94" s="57">
        <v>1961452</v>
      </c>
      <c r="B94" s="57" t="s">
        <v>597</v>
      </c>
      <c r="C94" s="57" t="s">
        <v>801</v>
      </c>
      <c r="D94" s="57" t="s">
        <v>490</v>
      </c>
      <c r="E94" s="138">
        <v>7916</v>
      </c>
      <c r="F94" s="138">
        <v>0</v>
      </c>
      <c r="G94" s="57" t="s">
        <v>78</v>
      </c>
      <c r="H94" s="57" t="s">
        <v>79</v>
      </c>
      <c r="I94" s="58">
        <v>46167</v>
      </c>
      <c r="J94" s="58">
        <v>46168</v>
      </c>
      <c r="K94" s="59">
        <v>0.27777777777778001</v>
      </c>
      <c r="L94" s="59">
        <v>0.51159722222222004</v>
      </c>
      <c r="M94" s="57" t="s">
        <v>490</v>
      </c>
      <c r="N94" s="57" t="s">
        <v>558</v>
      </c>
      <c r="O94" s="58"/>
      <c r="P94" s="59"/>
      <c r="Q94" s="57"/>
      <c r="R94" s="57"/>
      <c r="S94" s="57"/>
      <c r="T94" s="57"/>
      <c r="U94" s="57"/>
    </row>
    <row r="95" spans="1:21" x14ac:dyDescent="0.25">
      <c r="A95" s="57">
        <v>1961455</v>
      </c>
      <c r="B95" s="57" t="s">
        <v>597</v>
      </c>
      <c r="C95" s="57" t="s">
        <v>801</v>
      </c>
      <c r="D95" s="57" t="s">
        <v>490</v>
      </c>
      <c r="E95" s="138">
        <v>7916</v>
      </c>
      <c r="F95" s="138">
        <v>0</v>
      </c>
      <c r="G95" s="57" t="s">
        <v>78</v>
      </c>
      <c r="H95" s="57" t="s">
        <v>79</v>
      </c>
      <c r="I95" s="58">
        <v>46168</v>
      </c>
      <c r="J95" s="58">
        <v>46169</v>
      </c>
      <c r="K95" s="59">
        <v>0.27777777777778001</v>
      </c>
      <c r="L95" s="59">
        <v>0.51159722222222004</v>
      </c>
      <c r="M95" s="57" t="s">
        <v>490</v>
      </c>
      <c r="N95" s="57" t="s">
        <v>558</v>
      </c>
      <c r="O95" s="58"/>
      <c r="P95" s="59"/>
      <c r="Q95" s="57"/>
      <c r="R95" s="57"/>
      <c r="S95" s="57"/>
      <c r="T95" s="57"/>
      <c r="U95" s="57"/>
    </row>
    <row r="96" spans="1:21" x14ac:dyDescent="0.25">
      <c r="A96" s="57">
        <v>1962566</v>
      </c>
      <c r="B96" s="57" t="s">
        <v>597</v>
      </c>
      <c r="C96" s="57" t="s">
        <v>801</v>
      </c>
      <c r="D96" s="57" t="s">
        <v>490</v>
      </c>
      <c r="E96" s="138">
        <v>7916</v>
      </c>
      <c r="F96" s="138">
        <v>0</v>
      </c>
      <c r="G96" s="57" t="s">
        <v>78</v>
      </c>
      <c r="H96" s="57" t="s">
        <v>79</v>
      </c>
      <c r="I96" s="58">
        <v>46169</v>
      </c>
      <c r="J96" s="58">
        <v>46170</v>
      </c>
      <c r="K96" s="59">
        <v>0.27777777777778001</v>
      </c>
      <c r="L96" s="59">
        <v>0.51159722222222004</v>
      </c>
      <c r="M96" s="57" t="s">
        <v>490</v>
      </c>
      <c r="N96" s="57" t="s">
        <v>558</v>
      </c>
      <c r="O96" s="58"/>
      <c r="P96" s="59"/>
      <c r="Q96" s="57"/>
      <c r="R96" s="57"/>
      <c r="S96" s="57"/>
      <c r="T96" s="57"/>
      <c r="U96" s="57"/>
    </row>
    <row r="97" spans="1:21" x14ac:dyDescent="0.25">
      <c r="A97" s="57">
        <v>1961467</v>
      </c>
      <c r="B97" s="57" t="s">
        <v>526</v>
      </c>
      <c r="C97" s="57" t="s">
        <v>527</v>
      </c>
      <c r="D97" s="57" t="s">
        <v>490</v>
      </c>
      <c r="E97" s="138">
        <v>801</v>
      </c>
      <c r="F97" s="138">
        <v>0</v>
      </c>
      <c r="G97" s="57" t="s">
        <v>78</v>
      </c>
      <c r="H97" s="57" t="s">
        <v>79</v>
      </c>
      <c r="I97" s="58">
        <v>46172</v>
      </c>
      <c r="J97" s="58">
        <v>46172</v>
      </c>
      <c r="K97" s="59">
        <v>0.27777777777778001</v>
      </c>
      <c r="L97" s="59">
        <v>0.61489583333332998</v>
      </c>
      <c r="M97" s="57" t="s">
        <v>490</v>
      </c>
      <c r="N97" s="57" t="s">
        <v>817</v>
      </c>
      <c r="O97" s="58"/>
      <c r="P97" s="59"/>
      <c r="Q97" s="57"/>
      <c r="R97" s="57"/>
      <c r="S97" s="57"/>
      <c r="T97" s="57"/>
      <c r="U97" s="57"/>
    </row>
    <row r="98" spans="1:21" x14ac:dyDescent="0.25">
      <c r="A98" s="57">
        <v>1961460</v>
      </c>
      <c r="B98" s="57" t="s">
        <v>599</v>
      </c>
      <c r="C98" s="57" t="s">
        <v>600</v>
      </c>
      <c r="D98" s="57" t="s">
        <v>490</v>
      </c>
      <c r="E98" s="138">
        <v>801</v>
      </c>
      <c r="F98" s="138">
        <v>0</v>
      </c>
      <c r="G98" s="57" t="s">
        <v>78</v>
      </c>
      <c r="H98" s="57" t="s">
        <v>79</v>
      </c>
      <c r="I98" s="58">
        <v>46170</v>
      </c>
      <c r="J98" s="58">
        <v>46170</v>
      </c>
      <c r="K98" s="59">
        <v>0.27777777777778001</v>
      </c>
      <c r="L98" s="59">
        <v>0.61489583333332998</v>
      </c>
      <c r="M98" s="57" t="s">
        <v>490</v>
      </c>
      <c r="N98" s="57" t="s">
        <v>558</v>
      </c>
      <c r="O98" s="58"/>
      <c r="P98" s="59"/>
      <c r="Q98" s="57"/>
      <c r="R98" s="57"/>
      <c r="S98" s="57"/>
      <c r="T98" s="57"/>
      <c r="U98" s="57"/>
    </row>
    <row r="99" spans="1:21" x14ac:dyDescent="0.25">
      <c r="A99" s="57">
        <v>1961463</v>
      </c>
      <c r="B99" s="57" t="s">
        <v>601</v>
      </c>
      <c r="C99" s="57" t="s">
        <v>802</v>
      </c>
      <c r="D99" s="57" t="s">
        <v>490</v>
      </c>
      <c r="E99" s="138">
        <v>801</v>
      </c>
      <c r="F99" s="138">
        <v>0</v>
      </c>
      <c r="G99" s="57" t="s">
        <v>78</v>
      </c>
      <c r="H99" s="57" t="s">
        <v>79</v>
      </c>
      <c r="I99" s="58">
        <v>46171</v>
      </c>
      <c r="J99" s="58">
        <v>46171</v>
      </c>
      <c r="K99" s="59">
        <v>0.27777777777778001</v>
      </c>
      <c r="L99" s="59">
        <v>0.61489583333332998</v>
      </c>
      <c r="M99" s="57" t="s">
        <v>490</v>
      </c>
      <c r="N99" s="57" t="s">
        <v>558</v>
      </c>
      <c r="O99" s="58"/>
      <c r="P99" s="59"/>
      <c r="Q99" s="57"/>
      <c r="R99" s="57"/>
      <c r="S99" s="57"/>
      <c r="T99" s="57"/>
      <c r="U99" s="57"/>
    </row>
    <row r="100" spans="1:21" x14ac:dyDescent="0.25">
      <c r="A100" s="57">
        <v>1961425</v>
      </c>
      <c r="B100" s="57" t="s">
        <v>585</v>
      </c>
      <c r="C100" s="57" t="s">
        <v>586</v>
      </c>
      <c r="D100" s="57" t="s">
        <v>490</v>
      </c>
      <c r="E100" s="138">
        <v>1979</v>
      </c>
      <c r="F100" s="138">
        <v>0</v>
      </c>
      <c r="G100" s="57" t="s">
        <v>78</v>
      </c>
      <c r="H100" s="57" t="s">
        <v>79</v>
      </c>
      <c r="I100" s="58">
        <v>46156</v>
      </c>
      <c r="J100" s="58">
        <v>46156</v>
      </c>
      <c r="K100" s="59">
        <v>0.27777777777778001</v>
      </c>
      <c r="L100" s="59">
        <v>0.54813657407407002</v>
      </c>
      <c r="M100" s="57" t="s">
        <v>490</v>
      </c>
      <c r="N100" s="57" t="s">
        <v>558</v>
      </c>
      <c r="O100" s="58"/>
      <c r="P100" s="59"/>
      <c r="Q100" s="57"/>
      <c r="R100" s="57"/>
      <c r="S100" s="57"/>
      <c r="T100" s="57"/>
      <c r="U100" s="57"/>
    </row>
    <row r="101" spans="1:21" x14ac:dyDescent="0.25">
      <c r="A101" s="57">
        <v>1961414</v>
      </c>
      <c r="B101" s="57" t="s">
        <v>598</v>
      </c>
      <c r="C101" s="57" t="s">
        <v>803</v>
      </c>
      <c r="D101" s="57" t="s">
        <v>490</v>
      </c>
      <c r="E101" s="138">
        <v>4116</v>
      </c>
      <c r="F101" s="138">
        <v>0</v>
      </c>
      <c r="G101" s="57" t="s">
        <v>78</v>
      </c>
      <c r="H101" s="57" t="s">
        <v>79</v>
      </c>
      <c r="I101" s="58">
        <v>46161</v>
      </c>
      <c r="J101" s="58">
        <v>46161</v>
      </c>
      <c r="K101" s="59">
        <v>0.27777777777778001</v>
      </c>
      <c r="L101" s="59">
        <v>0.65141203703703998</v>
      </c>
      <c r="M101" s="57" t="s">
        <v>490</v>
      </c>
      <c r="N101" s="57" t="s">
        <v>558</v>
      </c>
      <c r="O101" s="58"/>
      <c r="P101" s="59"/>
      <c r="Q101" s="57"/>
      <c r="R101" s="57"/>
      <c r="S101" s="57"/>
      <c r="T101" s="57"/>
      <c r="U101" s="57"/>
    </row>
    <row r="102" spans="1:21" x14ac:dyDescent="0.25">
      <c r="A102" s="57">
        <v>1958940</v>
      </c>
      <c r="B102" s="57" t="s">
        <v>560</v>
      </c>
      <c r="C102" s="57" t="s">
        <v>518</v>
      </c>
      <c r="D102" s="57" t="s">
        <v>490</v>
      </c>
      <c r="E102" s="138">
        <v>19214</v>
      </c>
      <c r="F102" s="138">
        <v>0</v>
      </c>
      <c r="G102" s="57" t="s">
        <v>211</v>
      </c>
      <c r="H102" s="57" t="s">
        <v>79</v>
      </c>
      <c r="I102" s="58">
        <v>46151</v>
      </c>
      <c r="J102" s="58">
        <v>46151</v>
      </c>
      <c r="K102" s="59">
        <v>0.27777777777778001</v>
      </c>
      <c r="L102" s="59">
        <v>0.61331018518518998</v>
      </c>
      <c r="M102" s="57" t="s">
        <v>490</v>
      </c>
      <c r="N102" s="57" t="s">
        <v>558</v>
      </c>
      <c r="O102" s="58"/>
      <c r="P102" s="59"/>
      <c r="Q102" s="57"/>
      <c r="R102" s="57"/>
      <c r="S102" s="57"/>
      <c r="T102" s="57"/>
      <c r="U102" s="57"/>
    </row>
    <row r="103" spans="1:21" x14ac:dyDescent="0.25">
      <c r="A103" s="57">
        <v>1958941</v>
      </c>
      <c r="B103" s="57" t="s">
        <v>560</v>
      </c>
      <c r="C103" s="57" t="s">
        <v>518</v>
      </c>
      <c r="D103" s="57" t="s">
        <v>490</v>
      </c>
      <c r="E103" s="138">
        <v>19214</v>
      </c>
      <c r="F103" s="138">
        <v>0</v>
      </c>
      <c r="G103" s="57" t="s">
        <v>211</v>
      </c>
      <c r="H103" s="57" t="s">
        <v>79</v>
      </c>
      <c r="I103" s="58">
        <v>46153</v>
      </c>
      <c r="J103" s="58">
        <v>46153</v>
      </c>
      <c r="K103" s="59">
        <v>0.27777777777778001</v>
      </c>
      <c r="L103" s="59">
        <v>0.61331018518518998</v>
      </c>
      <c r="M103" s="57" t="s">
        <v>490</v>
      </c>
      <c r="N103" s="57" t="s">
        <v>558</v>
      </c>
      <c r="O103" s="58"/>
      <c r="P103" s="59"/>
      <c r="Q103" s="57"/>
      <c r="R103" s="57"/>
      <c r="S103" s="57"/>
      <c r="T103" s="57"/>
      <c r="U103" s="57"/>
    </row>
    <row r="104" spans="1:21" x14ac:dyDescent="0.25">
      <c r="E104" s="138"/>
      <c r="F104" s="138"/>
      <c r="I104" s="58"/>
      <c r="J104" s="58"/>
      <c r="K104" s="59"/>
      <c r="L104" s="59"/>
      <c r="O104" s="58"/>
      <c r="P104" s="59"/>
      <c r="Q104" s="57"/>
      <c r="R104" s="57"/>
      <c r="S104" s="57"/>
      <c r="T104" s="57"/>
      <c r="U104" s="57"/>
    </row>
    <row r="105" spans="1:21" x14ac:dyDescent="0.25">
      <c r="E105" s="138"/>
      <c r="F105" s="138"/>
      <c r="I105" s="58"/>
      <c r="J105" s="58"/>
      <c r="K105" s="59"/>
      <c r="L105" s="59"/>
      <c r="O105" s="58"/>
      <c r="P105" s="59"/>
      <c r="Q105" s="57"/>
      <c r="R105" s="57"/>
      <c r="S105" s="57"/>
      <c r="T105" s="57"/>
      <c r="U105" s="57"/>
    </row>
    <row r="106" spans="1:21" x14ac:dyDescent="0.25">
      <c r="E106" s="138"/>
      <c r="F106" s="138"/>
      <c r="I106" s="58"/>
      <c r="J106" s="58"/>
      <c r="K106" s="59"/>
      <c r="L106" s="59"/>
      <c r="O106" s="58"/>
      <c r="P106" s="59"/>
      <c r="Q106" s="57"/>
      <c r="R106" s="57"/>
      <c r="S106" s="57"/>
      <c r="T106" s="57"/>
      <c r="U106" s="57"/>
    </row>
    <row r="107" spans="1:21" x14ac:dyDescent="0.25">
      <c r="E107" s="138"/>
      <c r="F107" s="138"/>
      <c r="I107" s="58"/>
      <c r="J107" s="58"/>
      <c r="K107" s="59"/>
      <c r="L107" s="59"/>
      <c r="O107" s="58"/>
      <c r="P107" s="59"/>
      <c r="Q107" s="57"/>
      <c r="R107" s="57"/>
      <c r="S107" s="57"/>
      <c r="T107" s="57"/>
      <c r="U107" s="57"/>
    </row>
    <row r="108" spans="1:21" x14ac:dyDescent="0.25">
      <c r="E108" s="138"/>
      <c r="F108" s="138"/>
      <c r="I108" s="58"/>
      <c r="J108" s="58"/>
      <c r="K108" s="59"/>
      <c r="L108" s="59"/>
      <c r="O108" s="58"/>
      <c r="P108" s="59"/>
      <c r="Q108" s="57"/>
      <c r="R108" s="57"/>
      <c r="S108" s="57"/>
      <c r="T108" s="57"/>
      <c r="U108" s="57"/>
    </row>
    <row r="109" spans="1:21" x14ac:dyDescent="0.25">
      <c r="E109" s="138"/>
      <c r="F109" s="138"/>
      <c r="I109" s="58"/>
      <c r="J109" s="58"/>
      <c r="K109" s="59"/>
      <c r="L109" s="59"/>
      <c r="O109" s="58"/>
      <c r="P109" s="59"/>
      <c r="Q109" s="57"/>
      <c r="R109" s="57"/>
      <c r="S109" s="57"/>
      <c r="T109" s="57"/>
      <c r="U109" s="57"/>
    </row>
    <row r="110" spans="1:21" x14ac:dyDescent="0.25">
      <c r="E110" s="138"/>
      <c r="F110" s="138"/>
      <c r="I110" s="58"/>
      <c r="J110" s="58"/>
      <c r="K110" s="59"/>
      <c r="L110" s="59"/>
      <c r="O110" s="58"/>
      <c r="P110" s="59"/>
      <c r="Q110" s="57"/>
      <c r="R110" s="57"/>
      <c r="S110" s="57"/>
      <c r="T110" s="57"/>
      <c r="U110" s="57"/>
    </row>
    <row r="111" spans="1:21" x14ac:dyDescent="0.25">
      <c r="E111" s="138"/>
      <c r="F111" s="138"/>
      <c r="I111" s="58"/>
      <c r="J111" s="58"/>
      <c r="K111" s="59"/>
      <c r="L111" s="59"/>
      <c r="O111" s="58"/>
      <c r="P111" s="59"/>
      <c r="Q111" s="57"/>
      <c r="R111" s="57"/>
      <c r="S111" s="57"/>
      <c r="T111" s="57"/>
      <c r="U111" s="57"/>
    </row>
    <row r="112" spans="1:21" x14ac:dyDescent="0.25">
      <c r="E112" s="138"/>
      <c r="F112" s="138"/>
      <c r="I112" s="58"/>
      <c r="J112" s="58"/>
      <c r="K112" s="59"/>
      <c r="L112" s="59"/>
      <c r="O112" s="58"/>
      <c r="P112" s="59"/>
      <c r="Q112" s="57"/>
      <c r="R112" s="57"/>
      <c r="S112" s="57"/>
      <c r="T112" s="57"/>
      <c r="U112" s="57"/>
    </row>
    <row r="113" spans="5:21" x14ac:dyDescent="0.25">
      <c r="E113" s="138"/>
      <c r="F113" s="138"/>
      <c r="I113" s="58"/>
      <c r="J113" s="58"/>
      <c r="K113" s="59"/>
      <c r="L113" s="59"/>
      <c r="O113" s="58"/>
      <c r="P113" s="59"/>
      <c r="Q113" s="57"/>
      <c r="R113" s="57"/>
      <c r="S113" s="57"/>
      <c r="T113" s="57"/>
      <c r="U113" s="57"/>
    </row>
    <row r="114" spans="5:21" x14ac:dyDescent="0.25">
      <c r="E114" s="138"/>
      <c r="F114" s="138"/>
      <c r="I114" s="58"/>
      <c r="J114" s="58"/>
      <c r="K114" s="59"/>
      <c r="L114" s="59"/>
      <c r="O114" s="58"/>
      <c r="P114" s="59"/>
      <c r="Q114" s="57"/>
      <c r="R114" s="57"/>
      <c r="S114" s="57"/>
      <c r="T114" s="57"/>
      <c r="U114" s="57"/>
    </row>
    <row r="115" spans="5:21" x14ac:dyDescent="0.25">
      <c r="E115" s="138"/>
      <c r="F115" s="138"/>
      <c r="I115" s="58"/>
      <c r="J115" s="58"/>
      <c r="K115" s="59"/>
      <c r="L115" s="59"/>
      <c r="O115" s="58"/>
      <c r="P115" s="59"/>
      <c r="Q115" s="57"/>
      <c r="R115" s="57"/>
      <c r="S115" s="57"/>
      <c r="T115" s="57"/>
      <c r="U115" s="57"/>
    </row>
    <row r="116" spans="5:21" x14ac:dyDescent="0.25">
      <c r="E116" s="138"/>
      <c r="F116" s="138"/>
      <c r="I116" s="58"/>
      <c r="J116" s="58"/>
      <c r="K116" s="59"/>
      <c r="L116" s="59"/>
      <c r="O116" s="58"/>
      <c r="P116" s="59"/>
      <c r="Q116" s="57"/>
      <c r="R116" s="57"/>
      <c r="S116" s="57"/>
      <c r="T116" s="57"/>
      <c r="U116" s="57"/>
    </row>
    <row r="117" spans="5:21" x14ac:dyDescent="0.25">
      <c r="E117" s="138"/>
      <c r="F117" s="138"/>
      <c r="I117" s="58"/>
      <c r="J117" s="58"/>
      <c r="K117" s="59"/>
      <c r="L117" s="59"/>
      <c r="O117" s="58"/>
      <c r="P117" s="59"/>
      <c r="Q117" s="57"/>
      <c r="R117" s="57"/>
      <c r="S117" s="57"/>
      <c r="T117" s="57"/>
      <c r="U117" s="57"/>
    </row>
    <row r="118" spans="5:21" x14ac:dyDescent="0.25">
      <c r="E118" s="138"/>
      <c r="F118" s="138"/>
      <c r="I118" s="58"/>
      <c r="J118" s="58"/>
      <c r="K118" s="59"/>
      <c r="L118" s="59"/>
      <c r="O118" s="58"/>
      <c r="P118" s="59"/>
      <c r="Q118" s="57"/>
      <c r="R118" s="57"/>
      <c r="S118" s="57"/>
      <c r="T118" s="57"/>
      <c r="U118" s="57"/>
    </row>
    <row r="119" spans="5:21" x14ac:dyDescent="0.25">
      <c r="E119" s="138"/>
      <c r="F119" s="138"/>
      <c r="I119" s="58"/>
      <c r="J119" s="58"/>
      <c r="K119" s="59"/>
      <c r="L119" s="59"/>
      <c r="O119" s="58"/>
      <c r="P119" s="59"/>
      <c r="Q119" s="57"/>
      <c r="R119" s="57"/>
      <c r="S119" s="57"/>
      <c r="T119" s="57"/>
      <c r="U119" s="57"/>
    </row>
    <row r="120" spans="5:21" x14ac:dyDescent="0.25">
      <c r="E120" s="138"/>
      <c r="F120" s="138"/>
      <c r="I120" s="58"/>
      <c r="J120" s="58"/>
      <c r="K120" s="59"/>
      <c r="L120" s="59"/>
      <c r="O120" s="58"/>
      <c r="P120" s="59"/>
      <c r="Q120" s="57"/>
      <c r="R120" s="57"/>
      <c r="S120" s="57"/>
      <c r="T120" s="57"/>
      <c r="U120" s="57"/>
    </row>
    <row r="121" spans="5:21" x14ac:dyDescent="0.25">
      <c r="E121" s="138"/>
      <c r="F121" s="138"/>
      <c r="I121" s="58"/>
      <c r="J121" s="58"/>
      <c r="K121" s="59"/>
      <c r="L121" s="59"/>
      <c r="O121" s="58"/>
      <c r="P121" s="59"/>
      <c r="Q121" s="57"/>
      <c r="R121" s="57"/>
      <c r="S121" s="57"/>
      <c r="T121" s="57"/>
      <c r="U121" s="57"/>
    </row>
    <row r="122" spans="5:21" x14ac:dyDescent="0.25">
      <c r="E122" s="138"/>
      <c r="F122" s="138"/>
      <c r="I122" s="58"/>
      <c r="J122" s="58"/>
      <c r="K122" s="59"/>
      <c r="L122" s="59"/>
      <c r="O122" s="58"/>
      <c r="P122" s="59"/>
      <c r="Q122" s="57"/>
      <c r="R122" s="57"/>
      <c r="S122" s="57"/>
      <c r="T122" s="57"/>
      <c r="U122" s="57"/>
    </row>
    <row r="123" spans="5:21" x14ac:dyDescent="0.25">
      <c r="E123" s="138"/>
      <c r="F123" s="138"/>
      <c r="I123" s="58"/>
      <c r="J123" s="58"/>
      <c r="K123" s="59"/>
      <c r="L123" s="59"/>
      <c r="O123" s="58"/>
      <c r="P123" s="59"/>
      <c r="Q123" s="57"/>
      <c r="R123" s="57"/>
      <c r="S123" s="57"/>
      <c r="T123" s="57"/>
      <c r="U123" s="57"/>
    </row>
    <row r="124" spans="5:21" x14ac:dyDescent="0.25">
      <c r="E124" s="138"/>
      <c r="F124" s="138"/>
      <c r="I124" s="58"/>
      <c r="J124" s="58"/>
      <c r="K124" s="59"/>
      <c r="L124" s="59"/>
      <c r="O124" s="58"/>
      <c r="P124" s="59"/>
      <c r="Q124" s="57"/>
      <c r="R124" s="57"/>
      <c r="S124" s="57"/>
      <c r="T124" s="57"/>
      <c r="U124" s="57"/>
    </row>
    <row r="125" spans="5:21" x14ac:dyDescent="0.25">
      <c r="E125" s="138"/>
      <c r="F125" s="138"/>
      <c r="I125" s="58"/>
      <c r="J125" s="58"/>
      <c r="K125" s="59"/>
      <c r="L125" s="59"/>
      <c r="O125" s="58"/>
      <c r="P125" s="59"/>
      <c r="Q125" s="57"/>
      <c r="R125" s="57"/>
      <c r="S125" s="57"/>
      <c r="T125" s="57"/>
      <c r="U125" s="57"/>
    </row>
    <row r="126" spans="5:21" x14ac:dyDescent="0.25">
      <c r="E126" s="138"/>
      <c r="F126" s="138"/>
      <c r="I126" s="58"/>
      <c r="J126" s="58"/>
      <c r="K126" s="59"/>
      <c r="L126" s="59"/>
      <c r="O126" s="58"/>
      <c r="P126" s="59"/>
      <c r="Q126" s="57"/>
      <c r="R126" s="57"/>
      <c r="S126" s="57"/>
      <c r="T126" s="57"/>
      <c r="U126" s="57"/>
    </row>
    <row r="127" spans="5:21" x14ac:dyDescent="0.25">
      <c r="E127" s="138"/>
      <c r="F127" s="138"/>
      <c r="I127" s="58"/>
      <c r="J127" s="58"/>
      <c r="K127" s="59"/>
      <c r="L127" s="59"/>
      <c r="O127" s="58"/>
      <c r="P127" s="59"/>
      <c r="Q127" s="57"/>
      <c r="R127" s="57"/>
      <c r="S127" s="57"/>
      <c r="T127" s="57"/>
      <c r="U127" s="57"/>
    </row>
    <row r="128" spans="5:21" x14ac:dyDescent="0.25">
      <c r="E128" s="138"/>
      <c r="F128" s="138"/>
      <c r="I128" s="58"/>
      <c r="J128" s="58"/>
      <c r="K128" s="59"/>
      <c r="L128" s="59"/>
      <c r="O128" s="58"/>
      <c r="P128" s="59"/>
      <c r="Q128" s="57"/>
      <c r="R128" s="57"/>
      <c r="S128" s="57"/>
      <c r="T128" s="57"/>
      <c r="U128" s="57"/>
    </row>
    <row r="129" spans="5:21" x14ac:dyDescent="0.25">
      <c r="E129" s="138"/>
      <c r="F129" s="138"/>
      <c r="I129" s="58"/>
      <c r="J129" s="58"/>
      <c r="K129" s="59"/>
      <c r="L129" s="59"/>
      <c r="O129" s="58"/>
      <c r="P129" s="59"/>
      <c r="Q129" s="57"/>
      <c r="R129" s="57"/>
      <c r="S129" s="57"/>
      <c r="T129" s="57"/>
      <c r="U129" s="57"/>
    </row>
    <row r="130" spans="5:21" x14ac:dyDescent="0.25">
      <c r="E130" s="138"/>
      <c r="F130" s="138"/>
      <c r="I130" s="58"/>
      <c r="J130" s="58"/>
      <c r="K130" s="59"/>
      <c r="L130" s="59"/>
      <c r="O130" s="58"/>
      <c r="P130" s="59"/>
      <c r="Q130" s="57"/>
      <c r="R130" s="57"/>
      <c r="S130" s="57"/>
      <c r="T130" s="57"/>
      <c r="U130" s="57"/>
    </row>
    <row r="131" spans="5:21" x14ac:dyDescent="0.25">
      <c r="E131" s="138"/>
      <c r="F131" s="138"/>
      <c r="I131" s="58"/>
      <c r="J131" s="58"/>
      <c r="K131" s="59"/>
      <c r="L131" s="59"/>
      <c r="O131" s="58"/>
      <c r="P131" s="59"/>
      <c r="Q131" s="57"/>
      <c r="R131" s="57"/>
      <c r="S131" s="57"/>
      <c r="T131" s="57"/>
      <c r="U131" s="57"/>
    </row>
    <row r="132" spans="5:21" x14ac:dyDescent="0.25">
      <c r="E132" s="138"/>
      <c r="F132" s="138"/>
      <c r="I132" s="58"/>
      <c r="J132" s="58"/>
      <c r="K132" s="59"/>
      <c r="L132" s="59"/>
      <c r="O132" s="58"/>
      <c r="P132" s="59"/>
      <c r="Q132" s="57"/>
      <c r="R132" s="57"/>
      <c r="S132" s="57"/>
      <c r="T132" s="57"/>
      <c r="U132" s="57"/>
    </row>
    <row r="133" spans="5:21" x14ac:dyDescent="0.25">
      <c r="E133" s="138"/>
      <c r="F133" s="138"/>
      <c r="I133" s="58"/>
      <c r="J133" s="58"/>
      <c r="K133" s="59"/>
      <c r="L133" s="59"/>
      <c r="O133" s="58"/>
      <c r="P133" s="59"/>
      <c r="Q133" s="57"/>
      <c r="R133" s="57"/>
      <c r="S133" s="57"/>
      <c r="T133" s="57"/>
      <c r="U133" s="57"/>
    </row>
    <row r="134" spans="5:21" x14ac:dyDescent="0.25">
      <c r="E134" s="138"/>
      <c r="F134" s="138"/>
      <c r="I134" s="58"/>
      <c r="J134" s="58"/>
      <c r="K134" s="59"/>
      <c r="L134" s="59"/>
      <c r="O134" s="58"/>
      <c r="P134" s="59"/>
      <c r="Q134" s="57"/>
      <c r="R134" s="57"/>
      <c r="S134" s="57"/>
      <c r="T134" s="57"/>
      <c r="U134" s="57"/>
    </row>
    <row r="135" spans="5:21" x14ac:dyDescent="0.25">
      <c r="E135" s="138"/>
      <c r="F135" s="138"/>
      <c r="I135" s="58"/>
      <c r="J135" s="58"/>
      <c r="K135" s="59"/>
      <c r="L135" s="59"/>
      <c r="O135" s="58"/>
      <c r="P135" s="59"/>
      <c r="Q135" s="57"/>
      <c r="R135" s="57"/>
      <c r="S135" s="57"/>
      <c r="T135" s="57"/>
      <c r="U135" s="57"/>
    </row>
    <row r="136" spans="5:21" x14ac:dyDescent="0.25">
      <c r="E136" s="138"/>
      <c r="F136" s="138"/>
      <c r="I136" s="58"/>
      <c r="J136" s="58"/>
      <c r="K136" s="59"/>
      <c r="L136" s="59"/>
      <c r="O136" s="58"/>
      <c r="P136" s="59"/>
      <c r="Q136" s="57"/>
      <c r="R136" s="57"/>
      <c r="S136" s="57"/>
      <c r="T136" s="57"/>
      <c r="U136" s="57"/>
    </row>
    <row r="137" spans="5:21" x14ac:dyDescent="0.25">
      <c r="E137" s="138"/>
      <c r="F137" s="138"/>
      <c r="I137" s="58"/>
      <c r="J137" s="58"/>
      <c r="K137" s="59"/>
      <c r="L137" s="59"/>
      <c r="O137" s="58"/>
      <c r="P137" s="59"/>
      <c r="Q137" s="57"/>
      <c r="R137" s="57"/>
      <c r="S137" s="57"/>
      <c r="T137" s="57"/>
      <c r="U137" s="57"/>
    </row>
    <row r="138" spans="5:21" x14ac:dyDescent="0.25">
      <c r="E138" s="138"/>
      <c r="F138" s="138"/>
      <c r="I138" s="58"/>
      <c r="J138" s="58"/>
      <c r="K138" s="59"/>
      <c r="L138" s="59"/>
      <c r="O138" s="58"/>
      <c r="P138" s="59"/>
      <c r="Q138" s="57"/>
      <c r="R138" s="57"/>
      <c r="S138" s="57"/>
      <c r="T138" s="57"/>
      <c r="U138" s="57"/>
    </row>
    <row r="139" spans="5:21" x14ac:dyDescent="0.25">
      <c r="E139" s="138"/>
      <c r="F139" s="138"/>
      <c r="I139" s="58"/>
      <c r="J139" s="58"/>
      <c r="K139" s="59"/>
      <c r="L139" s="59"/>
      <c r="O139" s="58"/>
      <c r="P139" s="59"/>
      <c r="Q139" s="57"/>
      <c r="R139" s="57"/>
      <c r="S139" s="57"/>
      <c r="T139" s="57"/>
      <c r="U139" s="57"/>
    </row>
    <row r="140" spans="5:21" x14ac:dyDescent="0.25">
      <c r="E140" s="138"/>
      <c r="F140" s="138"/>
      <c r="I140" s="58"/>
      <c r="J140" s="58"/>
      <c r="K140" s="59"/>
      <c r="L140" s="59"/>
      <c r="O140" s="58"/>
      <c r="P140" s="59"/>
      <c r="Q140" s="57"/>
      <c r="R140" s="57"/>
      <c r="S140" s="57"/>
      <c r="T140" s="57"/>
      <c r="U140" s="57"/>
    </row>
    <row r="141" spans="5:21" x14ac:dyDescent="0.25">
      <c r="E141" s="138"/>
      <c r="F141" s="138"/>
      <c r="I141" s="58"/>
      <c r="J141" s="58"/>
      <c r="K141" s="59"/>
      <c r="L141" s="59"/>
      <c r="O141" s="58"/>
      <c r="P141" s="59"/>
      <c r="Q141" s="57"/>
      <c r="R141" s="57"/>
      <c r="S141" s="57"/>
      <c r="T141" s="57"/>
      <c r="U141" s="57"/>
    </row>
    <row r="142" spans="5:21" x14ac:dyDescent="0.25">
      <c r="E142" s="138"/>
      <c r="F142" s="138"/>
      <c r="I142" s="58"/>
      <c r="J142" s="58"/>
      <c r="K142" s="59"/>
      <c r="L142" s="59"/>
      <c r="O142" s="58"/>
      <c r="P142" s="59"/>
      <c r="Q142" s="57"/>
      <c r="R142" s="57"/>
      <c r="S142" s="57"/>
      <c r="T142" s="57"/>
      <c r="U142" s="57"/>
    </row>
    <row r="143" spans="5:21" x14ac:dyDescent="0.25">
      <c r="E143" s="138"/>
      <c r="F143" s="138"/>
      <c r="I143" s="58"/>
      <c r="J143" s="58"/>
      <c r="K143" s="59"/>
      <c r="L143" s="59"/>
      <c r="O143" s="58"/>
      <c r="P143" s="59"/>
      <c r="Q143" s="57"/>
      <c r="R143" s="57"/>
      <c r="S143" s="57"/>
      <c r="T143" s="57"/>
      <c r="U143" s="57"/>
    </row>
    <row r="144" spans="5:21" x14ac:dyDescent="0.25">
      <c r="E144" s="138"/>
      <c r="F144" s="138"/>
      <c r="I144" s="58"/>
      <c r="J144" s="58"/>
      <c r="K144" s="59"/>
      <c r="L144" s="59"/>
      <c r="O144" s="58"/>
      <c r="P144" s="59"/>
      <c r="Q144" s="57"/>
      <c r="R144" s="57"/>
      <c r="S144" s="57"/>
      <c r="T144" s="57"/>
      <c r="U144" s="57"/>
    </row>
    <row r="145" spans="5:21" x14ac:dyDescent="0.25">
      <c r="E145" s="138"/>
      <c r="F145" s="138"/>
      <c r="I145" s="58"/>
      <c r="J145" s="58"/>
      <c r="K145" s="59"/>
      <c r="L145" s="59"/>
      <c r="O145" s="58"/>
      <c r="P145" s="59"/>
      <c r="Q145" s="57"/>
      <c r="R145" s="57"/>
      <c r="S145" s="57"/>
      <c r="T145" s="57"/>
      <c r="U145" s="57"/>
    </row>
    <row r="146" spans="5:21" x14ac:dyDescent="0.25">
      <c r="E146" s="138"/>
      <c r="F146" s="138"/>
      <c r="I146" s="58"/>
      <c r="J146" s="58"/>
      <c r="K146" s="59"/>
      <c r="L146" s="59"/>
      <c r="O146" s="58"/>
      <c r="P146" s="59"/>
      <c r="Q146" s="57"/>
      <c r="R146" s="57"/>
      <c r="S146" s="57"/>
      <c r="T146" s="57"/>
      <c r="U146" s="57"/>
    </row>
    <row r="147" spans="5:21" x14ac:dyDescent="0.25">
      <c r="E147" s="138"/>
      <c r="F147" s="138"/>
      <c r="I147" s="58"/>
      <c r="J147" s="58"/>
      <c r="K147" s="59"/>
      <c r="L147" s="59"/>
      <c r="O147" s="58"/>
      <c r="P147" s="59"/>
      <c r="Q147" s="57"/>
      <c r="R147" s="57"/>
      <c r="S147" s="57"/>
      <c r="T147" s="57"/>
      <c r="U147" s="57"/>
    </row>
    <row r="148" spans="5:21" x14ac:dyDescent="0.25">
      <c r="E148" s="138"/>
      <c r="F148" s="138"/>
      <c r="I148" s="58"/>
      <c r="J148" s="58"/>
      <c r="K148" s="59"/>
      <c r="L148" s="59"/>
      <c r="O148" s="58"/>
      <c r="P148" s="59"/>
      <c r="Q148" s="57"/>
      <c r="R148" s="57"/>
      <c r="S148" s="57"/>
      <c r="T148" s="57"/>
      <c r="U148" s="57"/>
    </row>
    <row r="149" spans="5:21" x14ac:dyDescent="0.25">
      <c r="E149" s="138"/>
      <c r="F149" s="138"/>
      <c r="I149" s="58"/>
      <c r="J149" s="58"/>
      <c r="K149" s="59"/>
      <c r="L149" s="59"/>
      <c r="O149" s="58"/>
      <c r="P149" s="59"/>
      <c r="Q149" s="57"/>
      <c r="R149" s="57"/>
      <c r="S149" s="57"/>
      <c r="T149" s="57"/>
      <c r="U149" s="57"/>
    </row>
    <row r="150" spans="5:21" x14ac:dyDescent="0.25">
      <c r="E150" s="138"/>
      <c r="F150" s="138"/>
      <c r="I150" s="58"/>
      <c r="J150" s="58"/>
      <c r="K150" s="59"/>
      <c r="L150" s="59"/>
      <c r="O150" s="58"/>
      <c r="P150" s="59"/>
      <c r="Q150" s="57"/>
      <c r="R150" s="57"/>
      <c r="S150" s="57"/>
      <c r="T150" s="57"/>
      <c r="U150" s="57"/>
    </row>
    <row r="151" spans="5:21" x14ac:dyDescent="0.25">
      <c r="E151" s="138"/>
      <c r="F151" s="138"/>
      <c r="I151" s="58"/>
      <c r="J151" s="58"/>
      <c r="K151" s="59"/>
      <c r="L151" s="59"/>
      <c r="O151" s="58"/>
      <c r="P151" s="59"/>
      <c r="Q151" s="57"/>
      <c r="R151" s="57"/>
      <c r="S151" s="57"/>
      <c r="T151" s="57"/>
      <c r="U151" s="57"/>
    </row>
    <row r="152" spans="5:21" x14ac:dyDescent="0.25">
      <c r="E152" s="138"/>
      <c r="F152" s="138"/>
      <c r="I152" s="58"/>
      <c r="J152" s="58"/>
      <c r="K152" s="59"/>
      <c r="L152" s="59"/>
      <c r="O152" s="58"/>
      <c r="P152" s="59"/>
      <c r="Q152" s="57"/>
      <c r="R152" s="57"/>
      <c r="S152" s="57"/>
      <c r="T152" s="57"/>
      <c r="U152" s="57"/>
    </row>
    <row r="153" spans="5:21" x14ac:dyDescent="0.25">
      <c r="E153" s="138"/>
      <c r="F153" s="138"/>
      <c r="I153" s="58"/>
      <c r="J153" s="58"/>
      <c r="K153" s="59"/>
      <c r="L153" s="59"/>
      <c r="O153" s="58"/>
      <c r="P153" s="59"/>
      <c r="Q153" s="57"/>
      <c r="R153" s="57"/>
      <c r="S153" s="57"/>
      <c r="T153" s="57"/>
      <c r="U153" s="57"/>
    </row>
    <row r="154" spans="5:21" x14ac:dyDescent="0.25">
      <c r="E154" s="138"/>
      <c r="F154" s="138"/>
      <c r="I154" s="58"/>
      <c r="J154" s="58"/>
      <c r="K154" s="59"/>
      <c r="L154" s="59"/>
      <c r="O154" s="58"/>
      <c r="P154" s="59"/>
      <c r="Q154" s="57"/>
      <c r="R154" s="57"/>
      <c r="S154" s="57"/>
      <c r="T154" s="57"/>
      <c r="U154" s="57"/>
    </row>
    <row r="155" spans="5:21" x14ac:dyDescent="0.25">
      <c r="E155" s="138"/>
      <c r="F155" s="138"/>
      <c r="I155" s="58"/>
      <c r="J155" s="58"/>
      <c r="K155" s="59"/>
      <c r="L155" s="59"/>
      <c r="O155" s="58"/>
      <c r="P155" s="59"/>
      <c r="Q155" s="57"/>
      <c r="R155" s="57"/>
      <c r="S155" s="57"/>
      <c r="T155" s="57"/>
      <c r="U155" s="57"/>
    </row>
    <row r="156" spans="5:21" x14ac:dyDescent="0.25">
      <c r="E156" s="138"/>
      <c r="F156" s="138"/>
      <c r="I156" s="58"/>
      <c r="J156" s="58"/>
      <c r="K156" s="59"/>
      <c r="L156" s="59"/>
      <c r="O156" s="58"/>
      <c r="P156" s="59"/>
      <c r="Q156" s="57"/>
      <c r="R156" s="57"/>
      <c r="S156" s="57"/>
      <c r="T156" s="57"/>
      <c r="U156" s="57"/>
    </row>
    <row r="157" spans="5:21" x14ac:dyDescent="0.25">
      <c r="E157" s="138"/>
      <c r="F157" s="138"/>
      <c r="I157" s="58"/>
      <c r="J157" s="58"/>
      <c r="K157" s="59"/>
      <c r="L157" s="59"/>
      <c r="O157" s="58"/>
      <c r="P157" s="59"/>
      <c r="Q157" s="57"/>
      <c r="R157" s="57"/>
      <c r="S157" s="57"/>
      <c r="T157" s="57"/>
      <c r="U157" s="57"/>
    </row>
    <row r="158" spans="5:21" x14ac:dyDescent="0.25">
      <c r="E158" s="138"/>
      <c r="F158" s="138"/>
      <c r="I158" s="58"/>
      <c r="J158" s="58"/>
      <c r="K158" s="59"/>
      <c r="L158" s="59"/>
      <c r="O158" s="58"/>
      <c r="P158" s="59"/>
      <c r="Q158" s="57"/>
      <c r="R158" s="57"/>
      <c r="S158" s="57"/>
      <c r="T158" s="57"/>
      <c r="U158" s="57"/>
    </row>
    <row r="159" spans="5:21" x14ac:dyDescent="0.25">
      <c r="E159" s="138"/>
      <c r="F159" s="138"/>
      <c r="I159" s="58"/>
      <c r="J159" s="58"/>
      <c r="K159" s="59"/>
      <c r="L159" s="59"/>
      <c r="O159" s="58"/>
      <c r="P159" s="59"/>
      <c r="Q159" s="57"/>
      <c r="R159" s="57"/>
      <c r="S159" s="57"/>
      <c r="T159" s="57"/>
      <c r="U159" s="57"/>
    </row>
    <row r="160" spans="5:21" x14ac:dyDescent="0.25">
      <c r="E160" s="138"/>
      <c r="F160" s="138"/>
      <c r="I160" s="58"/>
      <c r="J160" s="58"/>
      <c r="K160" s="59"/>
      <c r="L160" s="59"/>
      <c r="O160" s="58"/>
      <c r="P160" s="59"/>
      <c r="Q160" s="57"/>
      <c r="R160" s="57"/>
      <c r="S160" s="57"/>
      <c r="T160" s="57"/>
      <c r="U160" s="57"/>
    </row>
    <row r="161" spans="5:21" x14ac:dyDescent="0.25">
      <c r="E161" s="138"/>
      <c r="F161" s="138"/>
      <c r="I161" s="58"/>
      <c r="J161" s="58"/>
      <c r="K161" s="59"/>
      <c r="L161" s="59"/>
      <c r="O161" s="58"/>
      <c r="P161" s="59"/>
      <c r="Q161" s="57"/>
      <c r="R161" s="57"/>
      <c r="S161" s="57"/>
      <c r="T161" s="57"/>
      <c r="U161" s="57"/>
    </row>
    <row r="162" spans="5:21" x14ac:dyDescent="0.25">
      <c r="E162" s="138"/>
      <c r="F162" s="138"/>
      <c r="I162" s="58"/>
      <c r="J162" s="58"/>
      <c r="K162" s="59"/>
      <c r="L162" s="59"/>
      <c r="O162" s="58"/>
      <c r="P162" s="59"/>
      <c r="Q162" s="57"/>
      <c r="R162" s="57"/>
      <c r="S162" s="57"/>
      <c r="T162" s="57"/>
      <c r="U162" s="57"/>
    </row>
    <row r="163" spans="5:21" x14ac:dyDescent="0.25">
      <c r="E163" s="138"/>
      <c r="F163" s="138"/>
      <c r="I163" s="58"/>
      <c r="J163" s="58"/>
      <c r="K163" s="59"/>
      <c r="L163" s="59"/>
      <c r="O163" s="58"/>
      <c r="P163" s="59"/>
      <c r="Q163" s="57"/>
      <c r="R163" s="57"/>
      <c r="S163" s="57"/>
      <c r="T163" s="57"/>
      <c r="U163" s="57"/>
    </row>
    <row r="164" spans="5:21" x14ac:dyDescent="0.25">
      <c r="E164" s="138"/>
      <c r="F164" s="138"/>
      <c r="I164" s="58"/>
      <c r="J164" s="58"/>
      <c r="K164" s="59"/>
      <c r="L164" s="59"/>
      <c r="O164" s="58"/>
      <c r="P164" s="59"/>
      <c r="Q164" s="57"/>
      <c r="R164" s="57"/>
      <c r="S164" s="57"/>
      <c r="T164" s="57"/>
      <c r="U164" s="57"/>
    </row>
    <row r="165" spans="5:21" x14ac:dyDescent="0.25">
      <c r="E165" s="138"/>
      <c r="F165" s="138"/>
      <c r="I165" s="58"/>
      <c r="J165" s="58"/>
      <c r="K165" s="59"/>
      <c r="L165" s="59"/>
      <c r="O165" s="58"/>
      <c r="P165" s="59"/>
      <c r="Q165" s="57"/>
      <c r="R165" s="57"/>
      <c r="S165" s="57"/>
      <c r="T165" s="57"/>
      <c r="U165" s="57"/>
    </row>
    <row r="166" spans="5:21" x14ac:dyDescent="0.25">
      <c r="E166" s="138"/>
      <c r="F166" s="138"/>
      <c r="I166" s="58"/>
      <c r="J166" s="58"/>
      <c r="K166" s="59"/>
      <c r="L166" s="59"/>
      <c r="O166" s="58"/>
      <c r="P166" s="59"/>
      <c r="Q166" s="57"/>
      <c r="R166" s="57"/>
      <c r="S166" s="57"/>
      <c r="T166" s="57"/>
      <c r="U166" s="57"/>
    </row>
    <row r="167" spans="5:21" x14ac:dyDescent="0.25">
      <c r="E167" s="138"/>
      <c r="F167" s="138"/>
      <c r="I167" s="58"/>
      <c r="J167" s="58"/>
      <c r="K167" s="59"/>
      <c r="L167" s="59"/>
      <c r="O167" s="58"/>
      <c r="P167" s="59"/>
      <c r="Q167" s="57"/>
      <c r="R167" s="57"/>
      <c r="S167" s="57"/>
      <c r="T167" s="57"/>
      <c r="U167" s="57"/>
    </row>
    <row r="168" spans="5:21" x14ac:dyDescent="0.25">
      <c r="E168" s="138"/>
      <c r="F168" s="138"/>
      <c r="I168" s="58"/>
      <c r="J168" s="58"/>
      <c r="K168" s="59"/>
      <c r="L168" s="59"/>
      <c r="O168" s="58"/>
      <c r="P168" s="59"/>
      <c r="Q168" s="57"/>
      <c r="R168" s="57"/>
      <c r="S168" s="57"/>
      <c r="T168" s="57"/>
      <c r="U168" s="57"/>
    </row>
    <row r="169" spans="5:21" x14ac:dyDescent="0.25">
      <c r="E169" s="138"/>
      <c r="F169" s="138"/>
      <c r="I169" s="58"/>
      <c r="J169" s="58"/>
      <c r="K169" s="59"/>
      <c r="L169" s="59"/>
      <c r="O169" s="58"/>
      <c r="P169" s="59"/>
      <c r="Q169" s="57"/>
      <c r="R169" s="57"/>
      <c r="S169" s="57"/>
      <c r="T169" s="57"/>
      <c r="U169" s="57"/>
    </row>
    <row r="170" spans="5:21" x14ac:dyDescent="0.25">
      <c r="E170" s="138"/>
      <c r="F170" s="138"/>
      <c r="I170" s="58"/>
      <c r="J170" s="58"/>
      <c r="K170" s="59"/>
      <c r="L170" s="59"/>
      <c r="O170" s="58"/>
      <c r="P170" s="59"/>
      <c r="Q170" s="57"/>
      <c r="R170" s="57"/>
      <c r="S170" s="57"/>
      <c r="T170" s="57"/>
      <c r="U170" s="57"/>
    </row>
    <row r="171" spans="5:21" x14ac:dyDescent="0.25">
      <c r="E171" s="138"/>
      <c r="F171" s="138"/>
      <c r="I171" s="58"/>
      <c r="J171" s="58"/>
      <c r="K171" s="59"/>
      <c r="L171" s="59"/>
      <c r="O171" s="58"/>
      <c r="P171" s="59"/>
      <c r="Q171" s="57"/>
      <c r="R171" s="57"/>
      <c r="S171" s="57"/>
      <c r="T171" s="57"/>
      <c r="U171" s="57"/>
    </row>
    <row r="172" spans="5:21" x14ac:dyDescent="0.25">
      <c r="E172" s="138"/>
      <c r="F172" s="138"/>
      <c r="I172" s="58"/>
      <c r="J172" s="58"/>
      <c r="K172" s="59"/>
      <c r="L172" s="59"/>
      <c r="O172" s="58"/>
      <c r="P172" s="59"/>
      <c r="Q172" s="57"/>
      <c r="R172" s="57"/>
      <c r="S172" s="57"/>
      <c r="T172" s="57"/>
      <c r="U172" s="57"/>
    </row>
    <row r="173" spans="5:21" x14ac:dyDescent="0.25">
      <c r="E173" s="138"/>
      <c r="F173" s="138"/>
      <c r="I173" s="58"/>
      <c r="J173" s="58"/>
      <c r="K173" s="59"/>
      <c r="L173" s="59"/>
      <c r="O173" s="58"/>
      <c r="P173" s="59"/>
      <c r="Q173" s="57"/>
      <c r="R173" s="57"/>
      <c r="S173" s="57"/>
      <c r="T173" s="57"/>
      <c r="U173" s="57"/>
    </row>
    <row r="174" spans="5:21" x14ac:dyDescent="0.25">
      <c r="E174" s="138"/>
      <c r="F174" s="138"/>
      <c r="I174" s="58"/>
      <c r="J174" s="58"/>
      <c r="K174" s="59"/>
      <c r="L174" s="59"/>
      <c r="O174" s="58"/>
      <c r="P174" s="59"/>
      <c r="Q174" s="57"/>
      <c r="R174" s="57"/>
      <c r="S174" s="57"/>
      <c r="T174" s="57"/>
      <c r="U174" s="57"/>
    </row>
    <row r="175" spans="5:21" x14ac:dyDescent="0.25">
      <c r="E175" s="138"/>
      <c r="F175" s="138"/>
      <c r="I175" s="58"/>
      <c r="J175" s="58"/>
      <c r="K175" s="59"/>
      <c r="L175" s="59"/>
      <c r="O175" s="58"/>
      <c r="P175" s="59"/>
      <c r="Q175" s="57"/>
      <c r="R175" s="57"/>
      <c r="S175" s="57"/>
      <c r="T175" s="57"/>
      <c r="U175" s="57"/>
    </row>
    <row r="176" spans="5:21" x14ac:dyDescent="0.25">
      <c r="E176" s="138"/>
      <c r="F176" s="138"/>
      <c r="I176" s="58"/>
      <c r="J176" s="58"/>
      <c r="K176" s="59"/>
      <c r="L176" s="59"/>
      <c r="O176" s="58"/>
      <c r="P176" s="59"/>
      <c r="Q176" s="57"/>
      <c r="R176" s="57"/>
      <c r="S176" s="57"/>
      <c r="T176" s="57"/>
      <c r="U176" s="57"/>
    </row>
    <row r="177" spans="5:21" x14ac:dyDescent="0.25">
      <c r="E177" s="138"/>
      <c r="F177" s="138"/>
      <c r="I177" s="58"/>
      <c r="J177" s="58"/>
      <c r="K177" s="59"/>
      <c r="L177" s="59"/>
      <c r="O177" s="58"/>
      <c r="P177" s="59"/>
      <c r="Q177" s="57"/>
      <c r="R177" s="57"/>
      <c r="S177" s="57"/>
      <c r="T177" s="57"/>
      <c r="U177" s="57"/>
    </row>
    <row r="178" spans="5:21" x14ac:dyDescent="0.25">
      <c r="E178" s="138"/>
      <c r="F178" s="138"/>
      <c r="I178" s="58"/>
      <c r="J178" s="58"/>
      <c r="K178" s="59"/>
      <c r="L178" s="59"/>
      <c r="O178" s="58"/>
      <c r="P178" s="59"/>
      <c r="Q178" s="57"/>
      <c r="R178" s="57"/>
      <c r="S178" s="57"/>
      <c r="T178" s="57"/>
      <c r="U178" s="57"/>
    </row>
    <row r="179" spans="5:21" x14ac:dyDescent="0.25">
      <c r="E179" s="138"/>
      <c r="F179" s="138"/>
      <c r="I179" s="58"/>
      <c r="J179" s="58"/>
      <c r="K179" s="59"/>
      <c r="L179" s="59"/>
      <c r="O179" s="58"/>
      <c r="P179" s="59"/>
      <c r="Q179" s="57"/>
      <c r="R179" s="57"/>
      <c r="S179" s="57"/>
      <c r="T179" s="57"/>
      <c r="U179" s="57"/>
    </row>
    <row r="180" spans="5:21" x14ac:dyDescent="0.25">
      <c r="E180" s="138"/>
      <c r="F180" s="138"/>
      <c r="I180" s="58"/>
      <c r="J180" s="58"/>
      <c r="K180" s="59"/>
      <c r="L180" s="59"/>
      <c r="O180" s="58"/>
      <c r="P180" s="59"/>
      <c r="Q180" s="57"/>
      <c r="R180" s="57"/>
      <c r="S180" s="57"/>
      <c r="T180" s="57"/>
      <c r="U180" s="57"/>
    </row>
    <row r="181" spans="5:21" x14ac:dyDescent="0.25">
      <c r="E181" s="138"/>
      <c r="F181" s="138"/>
      <c r="I181" s="58"/>
      <c r="J181" s="58"/>
      <c r="K181" s="59"/>
      <c r="L181" s="59"/>
      <c r="O181" s="58"/>
      <c r="P181" s="59"/>
      <c r="Q181" s="57"/>
      <c r="R181" s="57"/>
      <c r="S181" s="57"/>
      <c r="T181" s="57"/>
      <c r="U181" s="57"/>
    </row>
    <row r="182" spans="5:21" x14ac:dyDescent="0.25">
      <c r="E182" s="138"/>
      <c r="F182" s="138"/>
      <c r="I182" s="58"/>
      <c r="J182" s="58"/>
      <c r="K182" s="59"/>
      <c r="L182" s="59"/>
      <c r="O182" s="58"/>
      <c r="P182" s="59"/>
      <c r="Q182" s="57"/>
      <c r="R182" s="57"/>
      <c r="S182" s="57"/>
      <c r="T182" s="57"/>
      <c r="U182" s="57"/>
    </row>
    <row r="183" spans="5:21" x14ac:dyDescent="0.25">
      <c r="E183" s="138"/>
      <c r="F183" s="138"/>
      <c r="I183" s="58"/>
      <c r="J183" s="58"/>
      <c r="K183" s="59"/>
      <c r="L183" s="59"/>
      <c r="O183" s="58"/>
      <c r="P183" s="59"/>
      <c r="Q183" s="57"/>
      <c r="R183" s="57"/>
      <c r="S183" s="57"/>
      <c r="T183" s="57"/>
      <c r="U183" s="57"/>
    </row>
    <row r="184" spans="5:21" x14ac:dyDescent="0.25">
      <c r="E184" s="138"/>
      <c r="F184" s="138"/>
      <c r="I184" s="58"/>
      <c r="J184" s="58"/>
      <c r="K184" s="59"/>
      <c r="L184" s="59"/>
      <c r="O184" s="58"/>
      <c r="P184" s="59"/>
      <c r="Q184" s="57"/>
      <c r="R184" s="57"/>
      <c r="S184" s="57"/>
      <c r="T184" s="57"/>
      <c r="U184" s="57"/>
    </row>
    <row r="185" spans="5:21" x14ac:dyDescent="0.25">
      <c r="E185" s="138"/>
      <c r="F185" s="138"/>
      <c r="I185" s="58"/>
      <c r="J185" s="58"/>
      <c r="K185" s="59"/>
      <c r="L185" s="59"/>
      <c r="O185" s="58"/>
      <c r="P185" s="59"/>
      <c r="Q185" s="57"/>
      <c r="R185" s="57"/>
      <c r="S185" s="57"/>
      <c r="T185" s="57"/>
      <c r="U185" s="57"/>
    </row>
    <row r="186" spans="5:21" x14ac:dyDescent="0.25">
      <c r="E186" s="138"/>
      <c r="F186" s="138"/>
      <c r="I186" s="58"/>
      <c r="J186" s="58"/>
      <c r="K186" s="59"/>
      <c r="L186" s="59"/>
      <c r="O186" s="58"/>
      <c r="P186" s="59"/>
      <c r="Q186" s="57"/>
      <c r="R186" s="57"/>
      <c r="S186" s="57"/>
      <c r="T186" s="57"/>
      <c r="U186" s="57"/>
    </row>
    <row r="187" spans="5:21" x14ac:dyDescent="0.25">
      <c r="E187" s="138"/>
      <c r="F187" s="138"/>
      <c r="I187" s="58"/>
      <c r="J187" s="58"/>
      <c r="K187" s="59"/>
      <c r="L187" s="59"/>
      <c r="O187" s="58"/>
      <c r="P187" s="59"/>
      <c r="Q187" s="57"/>
      <c r="R187" s="57"/>
      <c r="S187" s="57"/>
      <c r="T187" s="57"/>
      <c r="U187" s="57"/>
    </row>
    <row r="188" spans="5:21" x14ac:dyDescent="0.25">
      <c r="E188" s="138"/>
      <c r="F188" s="138"/>
      <c r="I188" s="58"/>
      <c r="J188" s="58"/>
      <c r="K188" s="59"/>
      <c r="L188" s="59"/>
      <c r="O188" s="58"/>
      <c r="P188" s="59"/>
      <c r="Q188" s="57"/>
      <c r="R188" s="57"/>
      <c r="S188" s="57"/>
      <c r="T188" s="57"/>
      <c r="U188" s="57"/>
    </row>
    <row r="189" spans="5:21" x14ac:dyDescent="0.25">
      <c r="E189" s="138"/>
      <c r="F189" s="138"/>
      <c r="I189" s="58"/>
      <c r="J189" s="58"/>
      <c r="K189" s="59"/>
      <c r="L189" s="59"/>
      <c r="O189" s="58"/>
      <c r="P189" s="59"/>
      <c r="Q189" s="57"/>
      <c r="R189" s="57"/>
      <c r="S189" s="57"/>
      <c r="T189" s="57"/>
      <c r="U189" s="57"/>
    </row>
    <row r="190" spans="5:21" x14ac:dyDescent="0.25">
      <c r="E190" s="138"/>
      <c r="F190" s="138"/>
      <c r="I190" s="58"/>
      <c r="J190" s="58"/>
      <c r="K190" s="59"/>
      <c r="L190" s="59"/>
      <c r="O190" s="58"/>
      <c r="P190" s="59"/>
      <c r="Q190" s="57"/>
      <c r="R190" s="57"/>
      <c r="S190" s="57"/>
      <c r="T190" s="57"/>
      <c r="U190" s="57"/>
    </row>
    <row r="191" spans="5:21" x14ac:dyDescent="0.25">
      <c r="E191" s="138"/>
      <c r="F191" s="138"/>
      <c r="I191" s="58"/>
      <c r="J191" s="58"/>
      <c r="K191" s="59"/>
      <c r="L191" s="59"/>
      <c r="O191" s="58"/>
      <c r="P191" s="59"/>
      <c r="Q191" s="57"/>
      <c r="R191" s="57"/>
      <c r="S191" s="57"/>
      <c r="T191" s="57"/>
      <c r="U191" s="57"/>
    </row>
    <row r="192" spans="5:21" x14ac:dyDescent="0.25">
      <c r="E192" s="138"/>
      <c r="F192" s="138"/>
      <c r="I192" s="58"/>
      <c r="J192" s="58"/>
      <c r="K192" s="59"/>
      <c r="L192" s="59"/>
      <c r="O192" s="58"/>
      <c r="P192" s="59"/>
      <c r="Q192" s="57"/>
      <c r="R192" s="57"/>
      <c r="S192" s="57"/>
      <c r="T192" s="57"/>
      <c r="U192" s="57"/>
    </row>
    <row r="193" spans="5:21" x14ac:dyDescent="0.25">
      <c r="E193" s="138"/>
      <c r="F193" s="138"/>
      <c r="I193" s="58"/>
      <c r="J193" s="58"/>
      <c r="K193" s="59"/>
      <c r="L193" s="59"/>
      <c r="O193" s="58"/>
      <c r="P193" s="59"/>
      <c r="Q193" s="57"/>
      <c r="R193" s="57"/>
      <c r="S193" s="57"/>
      <c r="T193" s="57"/>
      <c r="U193" s="57"/>
    </row>
    <row r="194" spans="5:21" x14ac:dyDescent="0.25">
      <c r="E194" s="138"/>
      <c r="F194" s="138"/>
      <c r="I194" s="58"/>
      <c r="J194" s="58"/>
      <c r="K194" s="59"/>
      <c r="L194" s="59"/>
      <c r="O194" s="58"/>
      <c r="P194" s="59"/>
      <c r="Q194" s="57"/>
      <c r="R194" s="57"/>
      <c r="S194" s="57"/>
      <c r="T194" s="57"/>
      <c r="U194" s="57"/>
    </row>
    <row r="195" spans="5:21" x14ac:dyDescent="0.25">
      <c r="E195" s="138"/>
      <c r="F195" s="138"/>
      <c r="I195" s="58"/>
      <c r="J195" s="58"/>
      <c r="K195" s="59"/>
      <c r="L195" s="59"/>
      <c r="O195" s="58"/>
      <c r="P195" s="59"/>
      <c r="Q195" s="57"/>
      <c r="R195" s="57"/>
      <c r="S195" s="57"/>
      <c r="T195" s="57"/>
      <c r="U195" s="57"/>
    </row>
    <row r="196" spans="5:21" x14ac:dyDescent="0.25">
      <c r="E196" s="138"/>
      <c r="F196" s="138"/>
      <c r="I196" s="58"/>
      <c r="J196" s="58"/>
      <c r="K196" s="59"/>
      <c r="L196" s="59"/>
      <c r="O196" s="58"/>
      <c r="P196" s="59"/>
      <c r="Q196" s="57"/>
      <c r="R196" s="57"/>
      <c r="S196" s="57"/>
      <c r="T196" s="57"/>
      <c r="U196" s="57"/>
    </row>
    <row r="197" spans="5:21" x14ac:dyDescent="0.25">
      <c r="E197" s="138"/>
      <c r="F197" s="138"/>
      <c r="I197" s="58"/>
      <c r="J197" s="58"/>
      <c r="K197" s="59"/>
      <c r="L197" s="59"/>
      <c r="O197" s="58"/>
      <c r="P197" s="59"/>
      <c r="Q197" s="57"/>
      <c r="R197" s="57"/>
      <c r="S197" s="57"/>
      <c r="T197" s="57"/>
      <c r="U197" s="57"/>
    </row>
    <row r="198" spans="5:21" x14ac:dyDescent="0.25">
      <c r="E198" s="138"/>
      <c r="F198" s="138"/>
      <c r="I198" s="58"/>
      <c r="J198" s="58"/>
      <c r="K198" s="59"/>
      <c r="L198" s="59"/>
      <c r="O198" s="58"/>
      <c r="P198" s="59"/>
      <c r="Q198" s="57"/>
      <c r="R198" s="57"/>
      <c r="S198" s="57"/>
      <c r="T198" s="57"/>
      <c r="U198" s="57"/>
    </row>
    <row r="199" spans="5:21" x14ac:dyDescent="0.25">
      <c r="E199" s="138"/>
      <c r="F199" s="138"/>
      <c r="I199" s="58"/>
      <c r="J199" s="58"/>
      <c r="K199" s="59"/>
      <c r="L199" s="59"/>
      <c r="O199" s="58"/>
      <c r="P199" s="59"/>
      <c r="Q199" s="57"/>
      <c r="R199" s="57"/>
      <c r="S199" s="57"/>
      <c r="T199" s="57"/>
      <c r="U199" s="57"/>
    </row>
    <row r="200" spans="5:21" x14ac:dyDescent="0.25">
      <c r="E200" s="138"/>
      <c r="F200" s="138"/>
      <c r="I200" s="58"/>
      <c r="J200" s="58"/>
      <c r="K200" s="59"/>
      <c r="L200" s="59"/>
      <c r="O200" s="58"/>
      <c r="P200" s="59"/>
      <c r="Q200" s="57"/>
      <c r="R200" s="57"/>
      <c r="S200" s="57"/>
      <c r="T200" s="57"/>
      <c r="U200" s="57"/>
    </row>
    <row r="201" spans="5:21" x14ac:dyDescent="0.25">
      <c r="E201" s="138"/>
      <c r="F201" s="138"/>
      <c r="I201" s="58"/>
      <c r="J201" s="58"/>
      <c r="K201" s="59"/>
      <c r="L201" s="59"/>
      <c r="O201" s="58"/>
      <c r="P201" s="59"/>
      <c r="Q201" s="57"/>
      <c r="R201" s="57"/>
      <c r="S201" s="57"/>
      <c r="T201" s="57"/>
      <c r="U201" s="57"/>
    </row>
    <row r="202" spans="5:21" x14ac:dyDescent="0.25">
      <c r="E202" s="138"/>
      <c r="F202" s="138"/>
      <c r="I202" s="58"/>
      <c r="J202" s="58"/>
      <c r="K202" s="59"/>
      <c r="L202" s="59"/>
      <c r="O202" s="58"/>
      <c r="P202" s="59"/>
      <c r="Q202" s="57"/>
      <c r="R202" s="57"/>
      <c r="S202" s="57"/>
      <c r="T202" s="57"/>
      <c r="U202" s="57"/>
    </row>
    <row r="203" spans="5:21" x14ac:dyDescent="0.25">
      <c r="E203" s="138"/>
      <c r="F203" s="138"/>
      <c r="I203" s="58"/>
      <c r="J203" s="58"/>
      <c r="K203" s="59"/>
      <c r="L203" s="59"/>
      <c r="O203" s="58"/>
      <c r="P203" s="59"/>
      <c r="Q203" s="57"/>
      <c r="R203" s="57"/>
      <c r="S203" s="57"/>
      <c r="T203" s="57"/>
      <c r="U203" s="57"/>
    </row>
    <row r="204" spans="5:21" x14ac:dyDescent="0.25">
      <c r="E204" s="138"/>
      <c r="F204" s="138"/>
      <c r="I204" s="58"/>
      <c r="J204" s="58"/>
      <c r="K204" s="59"/>
      <c r="L204" s="59"/>
      <c r="O204" s="58"/>
      <c r="P204" s="59"/>
      <c r="Q204" s="57"/>
      <c r="R204" s="57"/>
      <c r="S204" s="57"/>
      <c r="T204" s="57"/>
      <c r="U204" s="57"/>
    </row>
    <row r="205" spans="5:21" x14ac:dyDescent="0.25">
      <c r="E205" s="138"/>
      <c r="F205" s="138"/>
      <c r="I205" s="58"/>
      <c r="J205" s="58"/>
      <c r="K205" s="59"/>
      <c r="L205" s="59"/>
      <c r="O205" s="58"/>
      <c r="P205" s="59"/>
      <c r="Q205" s="57"/>
      <c r="R205" s="57"/>
      <c r="S205" s="57"/>
      <c r="T205" s="57"/>
      <c r="U205" s="57"/>
    </row>
    <row r="206" spans="5:21" x14ac:dyDescent="0.25">
      <c r="E206" s="138"/>
      <c r="F206" s="138"/>
      <c r="I206" s="58"/>
      <c r="J206" s="58"/>
      <c r="K206" s="59"/>
      <c r="L206" s="59"/>
      <c r="O206" s="58"/>
      <c r="P206" s="59"/>
      <c r="Q206" s="57"/>
      <c r="R206" s="57"/>
      <c r="S206" s="57"/>
      <c r="T206" s="57"/>
      <c r="U206" s="57"/>
    </row>
    <row r="207" spans="5:21" x14ac:dyDescent="0.25">
      <c r="E207" s="138"/>
      <c r="F207" s="138"/>
      <c r="I207" s="58"/>
      <c r="J207" s="58"/>
      <c r="K207" s="59"/>
      <c r="L207" s="59"/>
      <c r="O207" s="58"/>
      <c r="P207" s="59"/>
      <c r="Q207" s="57"/>
      <c r="R207" s="57"/>
      <c r="S207" s="57"/>
      <c r="T207" s="57"/>
      <c r="U207" s="57"/>
    </row>
    <row r="208" spans="5:21" x14ac:dyDescent="0.25">
      <c r="E208" s="138"/>
      <c r="F208" s="138"/>
      <c r="I208" s="58"/>
      <c r="J208" s="58"/>
      <c r="K208" s="59"/>
      <c r="L208" s="59"/>
      <c r="O208" s="58"/>
      <c r="P208" s="59"/>
      <c r="Q208" s="57"/>
      <c r="R208" s="57"/>
      <c r="S208" s="57"/>
      <c r="T208" s="57"/>
      <c r="U208" s="57"/>
    </row>
    <row r="209" spans="5:21" x14ac:dyDescent="0.25">
      <c r="E209" s="138"/>
      <c r="F209" s="138"/>
      <c r="I209" s="58"/>
      <c r="J209" s="58"/>
      <c r="K209" s="59"/>
      <c r="L209" s="59"/>
      <c r="O209" s="58"/>
      <c r="P209" s="59"/>
      <c r="Q209" s="57"/>
      <c r="R209" s="57"/>
      <c r="S209" s="57"/>
      <c r="T209" s="57"/>
      <c r="U209" s="57"/>
    </row>
    <row r="210" spans="5:21" x14ac:dyDescent="0.25">
      <c r="E210" s="138"/>
      <c r="F210" s="138"/>
      <c r="I210" s="58"/>
      <c r="J210" s="58"/>
      <c r="K210" s="59"/>
      <c r="L210" s="59"/>
      <c r="O210" s="58"/>
      <c r="P210" s="59"/>
      <c r="Q210" s="57"/>
      <c r="R210" s="57"/>
      <c r="S210" s="57"/>
      <c r="T210" s="57"/>
      <c r="U210" s="57"/>
    </row>
    <row r="211" spans="5:21" x14ac:dyDescent="0.25">
      <c r="E211" s="138"/>
      <c r="F211" s="138"/>
      <c r="I211" s="58"/>
      <c r="J211" s="58"/>
      <c r="K211" s="59"/>
      <c r="L211" s="59"/>
      <c r="O211" s="58"/>
      <c r="P211" s="59"/>
      <c r="Q211" s="57"/>
      <c r="R211" s="57"/>
      <c r="S211" s="57"/>
      <c r="T211" s="57"/>
      <c r="U211" s="57"/>
    </row>
    <row r="212" spans="5:21" x14ac:dyDescent="0.25">
      <c r="E212" s="138"/>
      <c r="F212" s="138"/>
      <c r="I212" s="58"/>
      <c r="J212" s="58"/>
      <c r="K212" s="59"/>
      <c r="L212" s="59"/>
      <c r="O212" s="58"/>
      <c r="P212" s="59"/>
      <c r="Q212" s="57"/>
      <c r="R212" s="57"/>
      <c r="S212" s="57"/>
      <c r="T212" s="57"/>
      <c r="U212" s="57"/>
    </row>
    <row r="213" spans="5:21" x14ac:dyDescent="0.25">
      <c r="E213" s="138"/>
      <c r="F213" s="138"/>
      <c r="I213" s="58"/>
      <c r="J213" s="58"/>
      <c r="K213" s="59"/>
      <c r="L213" s="59"/>
      <c r="O213" s="58"/>
      <c r="P213" s="59"/>
      <c r="Q213" s="57"/>
      <c r="R213" s="57"/>
      <c r="S213" s="57"/>
      <c r="T213" s="57"/>
      <c r="U213" s="57"/>
    </row>
    <row r="214" spans="5:21" x14ac:dyDescent="0.25">
      <c r="E214" s="138"/>
      <c r="F214" s="138"/>
      <c r="I214" s="58"/>
      <c r="J214" s="58"/>
      <c r="K214" s="59"/>
      <c r="L214" s="59"/>
      <c r="O214" s="58"/>
      <c r="P214" s="59"/>
      <c r="Q214" s="57"/>
      <c r="R214" s="57"/>
      <c r="S214" s="57"/>
      <c r="T214" s="57"/>
      <c r="U214" s="57"/>
    </row>
    <row r="215" spans="5:21" x14ac:dyDescent="0.25">
      <c r="E215" s="138"/>
      <c r="F215" s="138"/>
      <c r="I215" s="58"/>
      <c r="J215" s="58"/>
      <c r="K215" s="59"/>
      <c r="L215" s="59"/>
      <c r="O215" s="58"/>
      <c r="P215" s="59"/>
      <c r="Q215" s="57"/>
      <c r="R215" s="57"/>
      <c r="S215" s="57"/>
      <c r="T215" s="57"/>
      <c r="U215" s="57"/>
    </row>
    <row r="216" spans="5:21" x14ac:dyDescent="0.25">
      <c r="E216" s="138"/>
      <c r="F216" s="138"/>
      <c r="I216" s="58"/>
      <c r="J216" s="58"/>
      <c r="K216" s="59"/>
      <c r="L216" s="59"/>
      <c r="O216" s="58"/>
      <c r="P216" s="59"/>
      <c r="Q216" s="57"/>
      <c r="R216" s="57"/>
      <c r="S216" s="57"/>
      <c r="T216" s="57"/>
      <c r="U216" s="57"/>
    </row>
    <row r="217" spans="5:21" x14ac:dyDescent="0.25">
      <c r="E217" s="138"/>
      <c r="F217" s="138"/>
      <c r="I217" s="58"/>
      <c r="J217" s="58"/>
      <c r="K217" s="59"/>
      <c r="L217" s="59"/>
      <c r="O217" s="58"/>
      <c r="P217" s="59"/>
      <c r="Q217" s="57"/>
      <c r="R217" s="57"/>
      <c r="S217" s="57"/>
      <c r="T217" s="57"/>
      <c r="U217" s="57"/>
    </row>
    <row r="218" spans="5:21" x14ac:dyDescent="0.25">
      <c r="E218" s="138"/>
      <c r="F218" s="138"/>
      <c r="I218" s="58"/>
      <c r="J218" s="58"/>
      <c r="K218" s="59"/>
      <c r="L218" s="59"/>
      <c r="O218" s="58"/>
      <c r="P218" s="59"/>
      <c r="Q218" s="57"/>
      <c r="R218" s="57"/>
      <c r="S218" s="57"/>
      <c r="T218" s="57"/>
      <c r="U218" s="57"/>
    </row>
    <row r="219" spans="5:21" x14ac:dyDescent="0.25">
      <c r="E219" s="138"/>
      <c r="F219" s="138"/>
      <c r="I219" s="58"/>
      <c r="J219" s="58"/>
      <c r="K219" s="59"/>
      <c r="L219" s="59"/>
      <c r="O219" s="58"/>
      <c r="P219" s="59"/>
      <c r="Q219" s="57"/>
      <c r="R219" s="57"/>
      <c r="S219" s="57"/>
      <c r="T219" s="57"/>
      <c r="U219" s="57"/>
    </row>
    <row r="220" spans="5:21" x14ac:dyDescent="0.25">
      <c r="E220" s="138"/>
      <c r="F220" s="138"/>
      <c r="I220" s="58"/>
      <c r="J220" s="58"/>
      <c r="K220" s="59"/>
      <c r="L220" s="59"/>
      <c r="O220" s="58"/>
      <c r="P220" s="59"/>
      <c r="Q220" s="57"/>
      <c r="R220" s="57"/>
      <c r="S220" s="57"/>
      <c r="T220" s="57"/>
      <c r="U220" s="57"/>
    </row>
    <row r="221" spans="5:21" x14ac:dyDescent="0.25">
      <c r="E221" s="138"/>
      <c r="F221" s="138"/>
      <c r="I221" s="58"/>
      <c r="J221" s="58"/>
      <c r="K221" s="59"/>
      <c r="L221" s="59"/>
      <c r="O221" s="58"/>
      <c r="P221" s="59"/>
      <c r="Q221" s="57"/>
      <c r="R221" s="57"/>
      <c r="S221" s="57"/>
      <c r="T221" s="57"/>
      <c r="U221" s="57"/>
    </row>
    <row r="222" spans="5:21" x14ac:dyDescent="0.25">
      <c r="E222" s="138"/>
      <c r="F222" s="138"/>
      <c r="I222" s="58"/>
      <c r="J222" s="58"/>
      <c r="K222" s="59"/>
      <c r="L222" s="59"/>
      <c r="O222" s="58"/>
      <c r="P222" s="59"/>
      <c r="Q222" s="57"/>
      <c r="R222" s="57"/>
      <c r="S222" s="57"/>
      <c r="T222" s="57"/>
      <c r="U222" s="57"/>
    </row>
    <row r="223" spans="5:21" x14ac:dyDescent="0.25">
      <c r="E223" s="138"/>
      <c r="F223" s="138"/>
      <c r="I223" s="58"/>
      <c r="J223" s="58"/>
      <c r="K223" s="59"/>
      <c r="L223" s="59"/>
      <c r="O223" s="58"/>
      <c r="P223" s="59"/>
      <c r="Q223" s="57"/>
      <c r="R223" s="57"/>
      <c r="S223" s="57"/>
      <c r="T223" s="57"/>
      <c r="U223" s="57"/>
    </row>
    <row r="224" spans="5:21" x14ac:dyDescent="0.25">
      <c r="E224" s="138"/>
      <c r="F224" s="138"/>
      <c r="I224" s="58"/>
      <c r="J224" s="58"/>
      <c r="K224" s="59"/>
      <c r="L224" s="59"/>
      <c r="O224" s="58"/>
      <c r="P224" s="59"/>
      <c r="Q224" s="57"/>
      <c r="R224" s="57"/>
      <c r="S224" s="57"/>
      <c r="T224" s="57"/>
      <c r="U224" s="57"/>
    </row>
    <row r="225" spans="5:21" x14ac:dyDescent="0.25">
      <c r="E225" s="138"/>
      <c r="F225" s="138"/>
      <c r="I225" s="58"/>
      <c r="J225" s="58"/>
      <c r="K225" s="59"/>
      <c r="L225" s="59"/>
      <c r="O225" s="58"/>
      <c r="P225" s="59"/>
      <c r="Q225" s="57"/>
      <c r="R225" s="57"/>
      <c r="S225" s="57"/>
      <c r="T225" s="57"/>
      <c r="U225" s="57"/>
    </row>
    <row r="226" spans="5:21" x14ac:dyDescent="0.25">
      <c r="E226" s="138"/>
      <c r="F226" s="138"/>
      <c r="I226" s="58"/>
      <c r="J226" s="58"/>
      <c r="K226" s="59"/>
      <c r="L226" s="59"/>
      <c r="O226" s="58"/>
      <c r="P226" s="59"/>
      <c r="Q226" s="57"/>
      <c r="R226" s="57"/>
      <c r="S226" s="57"/>
      <c r="T226" s="57"/>
      <c r="U226" s="57"/>
    </row>
    <row r="227" spans="5:21" x14ac:dyDescent="0.25">
      <c r="E227" s="138"/>
      <c r="F227" s="138"/>
      <c r="I227" s="58"/>
      <c r="J227" s="58"/>
      <c r="K227" s="59"/>
      <c r="L227" s="59"/>
      <c r="O227" s="58"/>
      <c r="P227" s="59"/>
      <c r="Q227" s="57"/>
      <c r="R227" s="57"/>
      <c r="S227" s="57"/>
      <c r="T227" s="57"/>
      <c r="U227" s="57"/>
    </row>
    <row r="228" spans="5:21" x14ac:dyDescent="0.25">
      <c r="E228" s="138"/>
      <c r="F228" s="138"/>
      <c r="I228" s="58"/>
      <c r="J228" s="58"/>
      <c r="K228" s="59"/>
      <c r="L228" s="59"/>
      <c r="O228" s="58"/>
      <c r="P228" s="59"/>
      <c r="Q228" s="57"/>
      <c r="R228" s="57"/>
      <c r="S228" s="57"/>
      <c r="T228" s="57"/>
      <c r="U228" s="57"/>
    </row>
    <row r="229" spans="5:21" x14ac:dyDescent="0.25">
      <c r="E229" s="138"/>
      <c r="F229" s="138"/>
      <c r="I229" s="58"/>
      <c r="J229" s="58"/>
      <c r="K229" s="59"/>
      <c r="L229" s="59"/>
      <c r="O229" s="58"/>
      <c r="P229" s="59"/>
      <c r="Q229" s="57"/>
      <c r="R229" s="57"/>
      <c r="S229" s="57"/>
      <c r="T229" s="57"/>
      <c r="U229" s="57"/>
    </row>
    <row r="230" spans="5:21" x14ac:dyDescent="0.25">
      <c r="E230" s="138"/>
      <c r="F230" s="138"/>
      <c r="I230" s="58"/>
      <c r="J230" s="58"/>
      <c r="K230" s="59"/>
      <c r="L230" s="59"/>
      <c r="O230" s="58"/>
      <c r="P230" s="59"/>
      <c r="Q230" s="57"/>
      <c r="R230" s="57"/>
      <c r="S230" s="57"/>
      <c r="T230" s="57"/>
      <c r="U230" s="57"/>
    </row>
    <row r="231" spans="5:21" x14ac:dyDescent="0.25">
      <c r="E231" s="138"/>
      <c r="F231" s="138"/>
      <c r="I231" s="58"/>
      <c r="J231" s="58"/>
      <c r="K231" s="59"/>
      <c r="L231" s="59"/>
      <c r="O231" s="58"/>
      <c r="P231" s="59"/>
      <c r="Q231" s="57"/>
      <c r="R231" s="57"/>
      <c r="S231" s="57"/>
      <c r="T231" s="57"/>
      <c r="U231" s="57"/>
    </row>
    <row r="232" spans="5:21" x14ac:dyDescent="0.25">
      <c r="E232" s="138"/>
      <c r="F232" s="138"/>
      <c r="I232" s="58"/>
      <c r="J232" s="58"/>
      <c r="K232" s="59"/>
      <c r="L232" s="59"/>
      <c r="O232" s="58"/>
      <c r="P232" s="59"/>
      <c r="Q232" s="57"/>
      <c r="R232" s="57"/>
      <c r="S232" s="57"/>
      <c r="T232" s="57"/>
      <c r="U232" s="57"/>
    </row>
    <row r="233" spans="5:21" x14ac:dyDescent="0.25">
      <c r="E233" s="138"/>
      <c r="F233" s="138"/>
      <c r="I233" s="58"/>
      <c r="J233" s="58"/>
      <c r="K233" s="59"/>
      <c r="L233" s="59"/>
      <c r="O233" s="58"/>
      <c r="P233" s="59"/>
      <c r="Q233" s="57"/>
      <c r="R233" s="57"/>
      <c r="S233" s="57"/>
      <c r="T233" s="57"/>
      <c r="U233" s="57"/>
    </row>
    <row r="234" spans="5:21" x14ac:dyDescent="0.25">
      <c r="E234" s="138"/>
      <c r="F234" s="138"/>
      <c r="I234" s="58"/>
      <c r="J234" s="58"/>
      <c r="K234" s="59"/>
      <c r="L234" s="59"/>
      <c r="O234" s="58"/>
      <c r="P234" s="59"/>
      <c r="Q234" s="57"/>
      <c r="R234" s="57"/>
      <c r="S234" s="57"/>
      <c r="T234" s="57"/>
      <c r="U234" s="57"/>
    </row>
    <row r="235" spans="5:21" x14ac:dyDescent="0.25">
      <c r="E235" s="138"/>
      <c r="F235" s="138"/>
      <c r="I235" s="58"/>
      <c r="J235" s="58"/>
      <c r="K235" s="59"/>
      <c r="L235" s="59"/>
      <c r="O235" s="58"/>
      <c r="P235" s="59"/>
      <c r="Q235" s="57"/>
      <c r="R235" s="57"/>
      <c r="S235" s="57"/>
      <c r="T235" s="57"/>
      <c r="U235" s="57"/>
    </row>
    <row r="236" spans="5:21" x14ac:dyDescent="0.25">
      <c r="E236" s="138"/>
      <c r="F236" s="138"/>
      <c r="I236" s="58"/>
      <c r="J236" s="58"/>
      <c r="K236" s="59"/>
      <c r="L236" s="59"/>
      <c r="O236" s="58"/>
      <c r="P236" s="59"/>
      <c r="Q236" s="57"/>
      <c r="R236" s="57"/>
      <c r="S236" s="57"/>
      <c r="T236" s="57"/>
      <c r="U236" s="57"/>
    </row>
    <row r="237" spans="5:21" x14ac:dyDescent="0.25">
      <c r="E237" s="138"/>
      <c r="F237" s="138"/>
      <c r="I237" s="58"/>
      <c r="J237" s="58"/>
      <c r="K237" s="59"/>
      <c r="L237" s="59"/>
      <c r="O237" s="58"/>
      <c r="P237" s="59"/>
      <c r="Q237" s="57"/>
      <c r="R237" s="57"/>
      <c r="S237" s="57"/>
      <c r="T237" s="57"/>
      <c r="U237" s="57"/>
    </row>
    <row r="238" spans="5:21" x14ac:dyDescent="0.25">
      <c r="E238" s="138"/>
      <c r="F238" s="138"/>
      <c r="I238" s="58"/>
      <c r="J238" s="58"/>
      <c r="K238" s="59"/>
      <c r="L238" s="59"/>
      <c r="O238" s="58"/>
      <c r="P238" s="59"/>
      <c r="Q238" s="57"/>
      <c r="R238" s="57"/>
      <c r="S238" s="57"/>
      <c r="T238" s="57"/>
      <c r="U238" s="57"/>
    </row>
    <row r="239" spans="5:21" x14ac:dyDescent="0.25">
      <c r="E239" s="138"/>
      <c r="F239" s="138"/>
      <c r="I239" s="58"/>
      <c r="J239" s="58"/>
      <c r="K239" s="59"/>
      <c r="L239" s="59"/>
      <c r="O239" s="58"/>
      <c r="P239" s="59"/>
      <c r="Q239" s="57"/>
      <c r="R239" s="57"/>
      <c r="S239" s="57"/>
      <c r="T239" s="57"/>
      <c r="U239" s="57"/>
    </row>
    <row r="240" spans="5:21" x14ac:dyDescent="0.25">
      <c r="E240" s="138"/>
      <c r="F240" s="138"/>
      <c r="I240" s="58"/>
      <c r="J240" s="58"/>
      <c r="K240" s="59"/>
      <c r="L240" s="59"/>
      <c r="O240" s="58"/>
      <c r="P240" s="59"/>
      <c r="Q240" s="57"/>
      <c r="R240" s="57"/>
      <c r="S240" s="57"/>
      <c r="T240" s="57"/>
      <c r="U240" s="57"/>
    </row>
    <row r="241" spans="5:21" x14ac:dyDescent="0.25">
      <c r="E241" s="138"/>
      <c r="F241" s="138"/>
      <c r="I241" s="58"/>
      <c r="J241" s="58"/>
      <c r="K241" s="59"/>
      <c r="L241" s="59"/>
      <c r="O241" s="58"/>
      <c r="P241" s="59"/>
      <c r="Q241" s="57"/>
      <c r="R241" s="57"/>
      <c r="S241" s="57"/>
      <c r="T241" s="57"/>
      <c r="U241" s="57"/>
    </row>
    <row r="242" spans="5:21" x14ac:dyDescent="0.25">
      <c r="E242" s="138"/>
      <c r="F242" s="138"/>
      <c r="I242" s="58"/>
      <c r="J242" s="58"/>
      <c r="K242" s="59"/>
      <c r="L242" s="59"/>
      <c r="O242" s="58"/>
      <c r="P242" s="59"/>
      <c r="Q242" s="57"/>
      <c r="R242" s="57"/>
      <c r="S242" s="57"/>
      <c r="T242" s="57"/>
      <c r="U242" s="57"/>
    </row>
    <row r="243" spans="5:21" x14ac:dyDescent="0.25">
      <c r="E243" s="138"/>
      <c r="F243" s="138"/>
      <c r="I243" s="58"/>
      <c r="J243" s="58"/>
      <c r="K243" s="59"/>
      <c r="L243" s="59"/>
      <c r="O243" s="58"/>
      <c r="P243" s="59"/>
      <c r="Q243" s="57"/>
      <c r="R243" s="57"/>
      <c r="S243" s="57"/>
      <c r="T243" s="57"/>
      <c r="U243" s="57"/>
    </row>
    <row r="244" spans="5:21" x14ac:dyDescent="0.25">
      <c r="E244" s="138"/>
      <c r="F244" s="138"/>
      <c r="I244" s="58"/>
      <c r="J244" s="58"/>
      <c r="K244" s="59"/>
      <c r="L244" s="59"/>
      <c r="O244" s="58"/>
      <c r="P244" s="59"/>
      <c r="Q244" s="57"/>
      <c r="R244" s="57"/>
      <c r="S244" s="57"/>
      <c r="T244" s="57"/>
      <c r="U244" s="57"/>
    </row>
    <row r="245" spans="5:21" x14ac:dyDescent="0.25">
      <c r="E245" s="138"/>
      <c r="F245" s="138"/>
      <c r="I245" s="58"/>
      <c r="J245" s="58"/>
      <c r="K245" s="59"/>
      <c r="L245" s="59"/>
      <c r="O245" s="58"/>
      <c r="P245" s="59"/>
      <c r="Q245" s="57"/>
      <c r="R245" s="57"/>
      <c r="S245" s="57"/>
      <c r="T245" s="57"/>
      <c r="U245" s="57"/>
    </row>
    <row r="246" spans="5:21" x14ac:dyDescent="0.25">
      <c r="E246" s="138"/>
      <c r="F246" s="138"/>
      <c r="I246" s="58"/>
      <c r="J246" s="58"/>
      <c r="K246" s="59"/>
      <c r="L246" s="59"/>
      <c r="O246" s="58"/>
      <c r="P246" s="59"/>
      <c r="Q246" s="57"/>
      <c r="R246" s="57"/>
      <c r="S246" s="57"/>
      <c r="T246" s="57"/>
      <c r="U246" s="57"/>
    </row>
    <row r="247" spans="5:21" x14ac:dyDescent="0.25">
      <c r="E247" s="138"/>
      <c r="F247" s="138"/>
      <c r="I247" s="58"/>
      <c r="J247" s="58"/>
      <c r="K247" s="59"/>
      <c r="L247" s="59"/>
      <c r="O247" s="58"/>
      <c r="P247" s="59"/>
      <c r="Q247" s="57"/>
      <c r="R247" s="57"/>
      <c r="S247" s="57"/>
      <c r="T247" s="57"/>
      <c r="U247" s="57"/>
    </row>
    <row r="248" spans="5:21" x14ac:dyDescent="0.25">
      <c r="E248" s="138"/>
      <c r="F248" s="138"/>
      <c r="I248" s="58"/>
      <c r="J248" s="58"/>
      <c r="K248" s="59"/>
      <c r="L248" s="59"/>
      <c r="O248" s="58"/>
      <c r="P248" s="59"/>
      <c r="Q248" s="57"/>
      <c r="R248" s="57"/>
      <c r="S248" s="57"/>
      <c r="T248" s="57"/>
      <c r="U248" s="57"/>
    </row>
    <row r="249" spans="5:21" x14ac:dyDescent="0.25">
      <c r="E249" s="138"/>
      <c r="F249" s="138"/>
      <c r="I249" s="58"/>
      <c r="J249" s="58"/>
      <c r="K249" s="59"/>
      <c r="L249" s="59"/>
      <c r="O249" s="58"/>
      <c r="P249" s="59"/>
      <c r="Q249" s="57"/>
      <c r="R249" s="57"/>
      <c r="S249" s="57"/>
      <c r="T249" s="57"/>
      <c r="U249" s="57"/>
    </row>
    <row r="250" spans="5:21" x14ac:dyDescent="0.25">
      <c r="E250" s="138"/>
      <c r="F250" s="138"/>
      <c r="I250" s="58"/>
      <c r="J250" s="58"/>
      <c r="K250" s="59"/>
      <c r="L250" s="59"/>
      <c r="O250" s="58"/>
      <c r="P250" s="59"/>
      <c r="Q250" s="57"/>
      <c r="R250" s="57"/>
      <c r="S250" s="57"/>
      <c r="T250" s="57"/>
      <c r="U250" s="57"/>
    </row>
    <row r="251" spans="5:21" x14ac:dyDescent="0.25">
      <c r="E251" s="138"/>
      <c r="F251" s="138"/>
      <c r="I251" s="58"/>
      <c r="J251" s="58"/>
      <c r="K251" s="59"/>
      <c r="L251" s="59"/>
      <c r="O251" s="58"/>
      <c r="P251" s="59"/>
      <c r="Q251" s="57"/>
      <c r="R251" s="57"/>
      <c r="S251" s="57"/>
      <c r="T251" s="57"/>
      <c r="U251" s="57"/>
    </row>
    <row r="252" spans="5:21" x14ac:dyDescent="0.25">
      <c r="E252" s="138"/>
      <c r="F252" s="138"/>
      <c r="I252" s="58"/>
      <c r="J252" s="58"/>
      <c r="K252" s="59"/>
      <c r="L252" s="59"/>
      <c r="O252" s="58"/>
      <c r="P252" s="59"/>
      <c r="Q252" s="57"/>
      <c r="R252" s="57"/>
      <c r="S252" s="57"/>
      <c r="T252" s="57"/>
      <c r="U252" s="57"/>
    </row>
    <row r="253" spans="5:21" x14ac:dyDescent="0.25">
      <c r="E253" s="138"/>
      <c r="F253" s="138"/>
      <c r="I253" s="58"/>
      <c r="J253" s="58"/>
      <c r="K253" s="59"/>
      <c r="L253" s="59"/>
      <c r="O253" s="58"/>
      <c r="P253" s="59"/>
      <c r="Q253" s="57"/>
      <c r="R253" s="57"/>
      <c r="S253" s="57"/>
      <c r="T253" s="57"/>
      <c r="U253" s="57"/>
    </row>
    <row r="254" spans="5:21" x14ac:dyDescent="0.25">
      <c r="E254" s="138"/>
      <c r="F254" s="138"/>
      <c r="I254" s="58"/>
      <c r="J254" s="58"/>
      <c r="K254" s="59"/>
      <c r="L254" s="59"/>
      <c r="O254" s="58"/>
      <c r="P254" s="59"/>
      <c r="Q254" s="57"/>
      <c r="R254" s="57"/>
      <c r="S254" s="57"/>
      <c r="T254" s="57"/>
      <c r="U254" s="57"/>
    </row>
    <row r="255" spans="5:21" x14ac:dyDescent="0.25">
      <c r="E255" s="138"/>
      <c r="F255" s="138"/>
      <c r="I255" s="58"/>
      <c r="J255" s="58"/>
      <c r="K255" s="59"/>
      <c r="L255" s="59"/>
      <c r="O255" s="58"/>
      <c r="P255" s="59"/>
      <c r="Q255" s="57"/>
      <c r="R255" s="57"/>
      <c r="S255" s="57"/>
      <c r="T255" s="57"/>
      <c r="U255" s="57"/>
    </row>
    <row r="256" spans="5:21" x14ac:dyDescent="0.25">
      <c r="E256" s="138"/>
      <c r="F256" s="138"/>
      <c r="I256" s="58"/>
      <c r="J256" s="58"/>
      <c r="K256" s="59"/>
      <c r="L256" s="59"/>
      <c r="O256" s="58"/>
      <c r="P256" s="59"/>
      <c r="Q256" s="57"/>
      <c r="R256" s="57"/>
      <c r="S256" s="57"/>
      <c r="T256" s="57"/>
      <c r="U256" s="57"/>
    </row>
    <row r="257" spans="5:21" x14ac:dyDescent="0.25">
      <c r="E257" s="138"/>
      <c r="F257" s="138"/>
      <c r="I257" s="58"/>
      <c r="J257" s="58"/>
      <c r="K257" s="59"/>
      <c r="L257" s="59"/>
      <c r="O257" s="58"/>
      <c r="P257" s="59"/>
      <c r="Q257" s="57"/>
      <c r="R257" s="57"/>
      <c r="S257" s="57"/>
      <c r="T257" s="57"/>
      <c r="U257" s="57"/>
    </row>
    <row r="258" spans="5:21" x14ac:dyDescent="0.25">
      <c r="E258" s="138"/>
      <c r="F258" s="138"/>
      <c r="I258" s="58"/>
      <c r="J258" s="58"/>
      <c r="K258" s="59"/>
      <c r="L258" s="59"/>
      <c r="O258" s="58"/>
      <c r="P258" s="59"/>
      <c r="Q258" s="57"/>
      <c r="R258" s="57"/>
      <c r="S258" s="57"/>
      <c r="T258" s="57"/>
      <c r="U258" s="57"/>
    </row>
    <row r="259" spans="5:21" x14ac:dyDescent="0.25">
      <c r="E259" s="138"/>
      <c r="F259" s="138"/>
      <c r="I259" s="58"/>
      <c r="J259" s="58"/>
      <c r="K259" s="59"/>
      <c r="L259" s="59"/>
      <c r="O259" s="58"/>
      <c r="P259" s="59"/>
      <c r="Q259" s="57"/>
      <c r="R259" s="57"/>
      <c r="S259" s="57"/>
      <c r="T259" s="57"/>
      <c r="U259" s="57"/>
    </row>
    <row r="260" spans="5:21" x14ac:dyDescent="0.25">
      <c r="E260" s="138"/>
      <c r="F260" s="138"/>
      <c r="I260" s="58"/>
      <c r="J260" s="58"/>
      <c r="K260" s="59"/>
      <c r="L260" s="59"/>
      <c r="O260" s="58"/>
      <c r="P260" s="59"/>
      <c r="Q260" s="57"/>
      <c r="R260" s="57"/>
      <c r="S260" s="57"/>
      <c r="T260" s="57"/>
      <c r="U260" s="57"/>
    </row>
    <row r="261" spans="5:21" x14ac:dyDescent="0.25">
      <c r="E261" s="138"/>
      <c r="F261" s="138"/>
      <c r="I261" s="58"/>
      <c r="J261" s="58"/>
      <c r="K261" s="59"/>
      <c r="L261" s="59"/>
      <c r="O261" s="58"/>
      <c r="P261" s="59"/>
      <c r="Q261" s="57"/>
      <c r="R261" s="57"/>
      <c r="S261" s="57"/>
      <c r="T261" s="57"/>
      <c r="U261" s="57"/>
    </row>
    <row r="262" spans="5:21" x14ac:dyDescent="0.25">
      <c r="E262" s="138"/>
      <c r="F262" s="138"/>
      <c r="I262" s="58"/>
      <c r="J262" s="58"/>
      <c r="K262" s="59"/>
      <c r="L262" s="59"/>
      <c r="O262" s="58"/>
      <c r="P262" s="59"/>
      <c r="Q262" s="57"/>
      <c r="R262" s="57"/>
      <c r="S262" s="57"/>
      <c r="T262" s="57"/>
      <c r="U262" s="57"/>
    </row>
    <row r="263" spans="5:21" x14ac:dyDescent="0.25">
      <c r="E263" s="138"/>
      <c r="F263" s="138"/>
      <c r="I263" s="58"/>
      <c r="J263" s="58"/>
      <c r="K263" s="59"/>
      <c r="L263" s="59"/>
      <c r="O263" s="58"/>
      <c r="P263" s="59"/>
      <c r="Q263" s="57"/>
      <c r="R263" s="57"/>
      <c r="S263" s="57"/>
      <c r="T263" s="57"/>
      <c r="U263" s="57"/>
    </row>
    <row r="264" spans="5:21" x14ac:dyDescent="0.25">
      <c r="E264" s="138"/>
      <c r="F264" s="138"/>
      <c r="I264" s="58"/>
      <c r="J264" s="58"/>
      <c r="K264" s="59"/>
      <c r="L264" s="59"/>
      <c r="O264" s="58"/>
      <c r="P264" s="59"/>
      <c r="Q264" s="57"/>
      <c r="R264" s="57"/>
      <c r="S264" s="57"/>
      <c r="T264" s="57"/>
      <c r="U264" s="57"/>
    </row>
    <row r="265" spans="5:21" x14ac:dyDescent="0.25">
      <c r="E265" s="138"/>
      <c r="F265" s="138"/>
      <c r="I265" s="58"/>
      <c r="J265" s="58"/>
      <c r="K265" s="59"/>
      <c r="L265" s="59"/>
      <c r="O265" s="58"/>
      <c r="P265" s="59"/>
      <c r="Q265" s="57"/>
      <c r="R265" s="57"/>
      <c r="S265" s="57"/>
      <c r="T265" s="57"/>
      <c r="U265" s="57"/>
    </row>
    <row r="266" spans="5:21" x14ac:dyDescent="0.25">
      <c r="E266" s="138"/>
      <c r="F266" s="138"/>
      <c r="I266" s="58"/>
      <c r="J266" s="58"/>
      <c r="K266" s="59"/>
      <c r="L266" s="59"/>
      <c r="O266" s="58"/>
      <c r="P266" s="59"/>
      <c r="Q266" s="57"/>
      <c r="R266" s="57"/>
      <c r="S266" s="57"/>
      <c r="T266" s="57"/>
      <c r="U266" s="57"/>
    </row>
    <row r="267" spans="5:21" x14ac:dyDescent="0.25">
      <c r="E267" s="138"/>
      <c r="F267" s="138"/>
      <c r="I267" s="58"/>
      <c r="J267" s="58"/>
      <c r="K267" s="59"/>
      <c r="L267" s="59"/>
      <c r="O267" s="58"/>
      <c r="P267" s="59"/>
      <c r="Q267" s="57"/>
      <c r="R267" s="57"/>
      <c r="S267" s="57"/>
      <c r="T267" s="57"/>
      <c r="U267" s="57"/>
    </row>
    <row r="268" spans="5:21" x14ac:dyDescent="0.25">
      <c r="E268" s="138"/>
      <c r="F268" s="138"/>
      <c r="I268" s="58"/>
      <c r="J268" s="58"/>
      <c r="K268" s="59"/>
      <c r="L268" s="59"/>
      <c r="O268" s="58"/>
      <c r="P268" s="59"/>
      <c r="Q268" s="57"/>
      <c r="R268" s="57"/>
      <c r="S268" s="57"/>
      <c r="T268" s="57"/>
      <c r="U268" s="57"/>
    </row>
    <row r="269" spans="5:21" x14ac:dyDescent="0.25">
      <c r="E269" s="138"/>
      <c r="F269" s="138"/>
      <c r="I269" s="58"/>
      <c r="J269" s="58"/>
      <c r="K269" s="59"/>
      <c r="L269" s="59"/>
      <c r="O269" s="58"/>
      <c r="P269" s="59"/>
      <c r="Q269" s="57"/>
      <c r="R269" s="57"/>
      <c r="S269" s="57"/>
      <c r="T269" s="57"/>
      <c r="U269" s="57"/>
    </row>
    <row r="270" spans="5:21" x14ac:dyDescent="0.25">
      <c r="E270" s="138"/>
      <c r="F270" s="138"/>
      <c r="I270" s="58"/>
      <c r="J270" s="58"/>
      <c r="K270" s="59"/>
      <c r="L270" s="59"/>
      <c r="O270" s="58"/>
      <c r="P270" s="59"/>
      <c r="Q270" s="57"/>
      <c r="R270" s="57"/>
      <c r="S270" s="57"/>
      <c r="T270" s="57"/>
      <c r="U270" s="57"/>
    </row>
    <row r="271" spans="5:21" x14ac:dyDescent="0.25">
      <c r="E271" s="138"/>
      <c r="F271" s="138"/>
      <c r="I271" s="58"/>
      <c r="J271" s="58"/>
      <c r="K271" s="59"/>
      <c r="L271" s="59"/>
      <c r="O271" s="58"/>
      <c r="P271" s="59"/>
      <c r="Q271" s="57"/>
      <c r="R271" s="57"/>
      <c r="S271" s="57"/>
      <c r="T271" s="57"/>
      <c r="U271" s="57"/>
    </row>
    <row r="272" spans="5:21" x14ac:dyDescent="0.25">
      <c r="E272" s="138"/>
      <c r="F272" s="138"/>
      <c r="I272" s="58"/>
      <c r="J272" s="58"/>
      <c r="K272" s="59"/>
      <c r="L272" s="59"/>
      <c r="O272" s="58"/>
      <c r="P272" s="59"/>
      <c r="Q272" s="57"/>
      <c r="R272" s="57"/>
      <c r="S272" s="57"/>
      <c r="T272" s="57"/>
      <c r="U272" s="57"/>
    </row>
    <row r="273" spans="5:21" x14ac:dyDescent="0.25">
      <c r="E273" s="138"/>
      <c r="F273" s="138"/>
      <c r="I273" s="58"/>
      <c r="J273" s="58"/>
      <c r="K273" s="59"/>
      <c r="L273" s="59"/>
      <c r="O273" s="58"/>
      <c r="P273" s="59"/>
      <c r="Q273" s="57"/>
      <c r="R273" s="57"/>
      <c r="S273" s="57"/>
      <c r="T273" s="57"/>
      <c r="U273" s="57"/>
    </row>
    <row r="274" spans="5:21" x14ac:dyDescent="0.25">
      <c r="E274" s="138"/>
      <c r="F274" s="138"/>
      <c r="I274" s="58"/>
      <c r="J274" s="58"/>
      <c r="K274" s="59"/>
      <c r="L274" s="59"/>
      <c r="O274" s="58"/>
      <c r="P274" s="59"/>
      <c r="Q274" s="57"/>
      <c r="R274" s="57"/>
      <c r="S274" s="57"/>
      <c r="T274" s="57"/>
      <c r="U274" s="57"/>
    </row>
    <row r="275" spans="5:21" x14ac:dyDescent="0.25">
      <c r="E275" s="138"/>
      <c r="F275" s="138"/>
      <c r="I275" s="58"/>
      <c r="J275" s="58"/>
      <c r="K275" s="59"/>
      <c r="L275" s="59"/>
      <c r="O275" s="58"/>
      <c r="P275" s="59"/>
      <c r="Q275" s="57"/>
      <c r="R275" s="57"/>
      <c r="S275" s="57"/>
      <c r="T275" s="57"/>
      <c r="U275" s="57"/>
    </row>
    <row r="276" spans="5:21" x14ac:dyDescent="0.25">
      <c r="E276" s="138"/>
      <c r="F276" s="138"/>
      <c r="I276" s="58"/>
      <c r="J276" s="58"/>
      <c r="K276" s="59"/>
      <c r="L276" s="59"/>
      <c r="O276" s="58"/>
      <c r="P276" s="59"/>
      <c r="Q276" s="57"/>
      <c r="R276" s="57"/>
      <c r="S276" s="57"/>
      <c r="T276" s="57"/>
      <c r="U276" s="57"/>
    </row>
    <row r="277" spans="5:21" x14ac:dyDescent="0.25">
      <c r="E277" s="138"/>
      <c r="F277" s="138"/>
      <c r="I277" s="58"/>
      <c r="J277" s="58"/>
      <c r="K277" s="59"/>
      <c r="L277" s="59"/>
      <c r="O277" s="58"/>
      <c r="P277" s="59"/>
      <c r="Q277" s="57"/>
      <c r="R277" s="57"/>
      <c r="S277" s="57"/>
      <c r="T277" s="57"/>
      <c r="U277" s="57"/>
    </row>
    <row r="278" spans="5:21" x14ac:dyDescent="0.25">
      <c r="E278" s="138"/>
      <c r="F278" s="138"/>
      <c r="I278" s="58"/>
      <c r="J278" s="58"/>
      <c r="K278" s="59"/>
      <c r="L278" s="59"/>
      <c r="O278" s="58"/>
      <c r="P278" s="59"/>
      <c r="Q278" s="57"/>
      <c r="R278" s="57"/>
      <c r="S278" s="57"/>
      <c r="T278" s="57"/>
      <c r="U278" s="57"/>
    </row>
    <row r="279" spans="5:21" x14ac:dyDescent="0.25">
      <c r="E279" s="138"/>
      <c r="F279" s="138"/>
      <c r="I279" s="58"/>
      <c r="J279" s="58"/>
      <c r="K279" s="59"/>
      <c r="L279" s="59"/>
      <c r="O279" s="58"/>
      <c r="P279" s="59"/>
      <c r="Q279" s="57"/>
      <c r="R279" s="57"/>
      <c r="S279" s="57"/>
      <c r="T279" s="57"/>
      <c r="U279" s="57"/>
    </row>
    <row r="280" spans="5:21" x14ac:dyDescent="0.25">
      <c r="E280" s="138"/>
      <c r="F280" s="138"/>
      <c r="I280" s="58"/>
      <c r="J280" s="58"/>
      <c r="K280" s="59"/>
      <c r="L280" s="59"/>
      <c r="O280" s="58"/>
      <c r="P280" s="59"/>
      <c r="Q280" s="57"/>
      <c r="R280" s="57"/>
      <c r="S280" s="57"/>
      <c r="T280" s="57"/>
      <c r="U280" s="57"/>
    </row>
    <row r="281" spans="5:21" x14ac:dyDescent="0.25">
      <c r="E281" s="138"/>
      <c r="F281" s="138"/>
      <c r="I281" s="58"/>
      <c r="J281" s="58"/>
      <c r="K281" s="59"/>
      <c r="L281" s="59"/>
      <c r="O281" s="58"/>
      <c r="P281" s="59"/>
      <c r="Q281" s="57"/>
      <c r="R281" s="57"/>
      <c r="S281" s="57"/>
      <c r="T281" s="57"/>
      <c r="U281" s="57"/>
    </row>
    <row r="282" spans="5:21" x14ac:dyDescent="0.25">
      <c r="E282" s="138"/>
      <c r="F282" s="138"/>
      <c r="I282" s="58"/>
      <c r="J282" s="58"/>
      <c r="K282" s="59"/>
      <c r="L282" s="59"/>
      <c r="O282" s="58"/>
      <c r="P282" s="59"/>
      <c r="Q282" s="57"/>
      <c r="R282" s="57"/>
      <c r="S282" s="57"/>
      <c r="T282" s="57"/>
      <c r="U282" s="57"/>
    </row>
    <row r="283" spans="5:21" x14ac:dyDescent="0.25">
      <c r="E283" s="138"/>
      <c r="F283" s="138"/>
      <c r="I283" s="58"/>
      <c r="J283" s="58"/>
      <c r="K283" s="59"/>
      <c r="L283" s="59"/>
      <c r="O283" s="58"/>
      <c r="P283" s="59"/>
      <c r="Q283" s="57"/>
      <c r="R283" s="57"/>
      <c r="S283" s="57"/>
      <c r="T283" s="57"/>
      <c r="U283" s="57"/>
    </row>
    <row r="284" spans="5:21" x14ac:dyDescent="0.25">
      <c r="E284" s="138"/>
      <c r="F284" s="138"/>
      <c r="I284" s="58"/>
      <c r="J284" s="58"/>
      <c r="K284" s="59"/>
      <c r="L284" s="59"/>
      <c r="O284" s="58"/>
      <c r="P284" s="59"/>
      <c r="Q284" s="57"/>
      <c r="R284" s="57"/>
      <c r="S284" s="57"/>
      <c r="T284" s="57"/>
      <c r="U284" s="57"/>
    </row>
    <row r="285" spans="5:21" x14ac:dyDescent="0.25">
      <c r="E285" s="138"/>
      <c r="F285" s="138"/>
      <c r="I285" s="58"/>
      <c r="J285" s="58"/>
      <c r="K285" s="59"/>
      <c r="L285" s="59"/>
      <c r="O285" s="58"/>
      <c r="P285" s="59"/>
      <c r="Q285" s="57"/>
      <c r="R285" s="57"/>
      <c r="S285" s="57"/>
      <c r="T285" s="57"/>
      <c r="U285" s="57"/>
    </row>
    <row r="286" spans="5:21" x14ac:dyDescent="0.25">
      <c r="E286" s="138"/>
      <c r="F286" s="138"/>
      <c r="I286" s="58"/>
      <c r="J286" s="58"/>
      <c r="K286" s="59"/>
      <c r="L286" s="59"/>
      <c r="O286" s="58"/>
      <c r="P286" s="59"/>
      <c r="Q286" s="57"/>
      <c r="R286" s="57"/>
      <c r="S286" s="57"/>
      <c r="T286" s="57"/>
      <c r="U286" s="57"/>
    </row>
    <row r="287" spans="5:21" x14ac:dyDescent="0.25">
      <c r="E287" s="138"/>
      <c r="F287" s="138"/>
      <c r="I287" s="58"/>
      <c r="J287" s="58"/>
      <c r="K287" s="59"/>
      <c r="L287" s="59"/>
      <c r="O287" s="58"/>
      <c r="P287" s="59"/>
      <c r="Q287" s="57"/>
      <c r="R287" s="57"/>
      <c r="S287" s="57"/>
      <c r="T287" s="57"/>
      <c r="U287" s="57"/>
    </row>
    <row r="288" spans="5:21" x14ac:dyDescent="0.25">
      <c r="E288" s="138"/>
      <c r="F288" s="138"/>
      <c r="I288" s="58"/>
      <c r="J288" s="58"/>
      <c r="K288" s="59"/>
      <c r="L288" s="59"/>
      <c r="O288" s="58"/>
      <c r="P288" s="59"/>
      <c r="Q288" s="57"/>
      <c r="R288" s="57"/>
      <c r="S288" s="57"/>
      <c r="T288" s="57"/>
      <c r="U288" s="57"/>
    </row>
    <row r="289" spans="5:21" x14ac:dyDescent="0.25">
      <c r="E289" s="138"/>
      <c r="F289" s="138"/>
      <c r="I289" s="58"/>
      <c r="J289" s="58"/>
      <c r="K289" s="59"/>
      <c r="L289" s="59"/>
      <c r="O289" s="58"/>
      <c r="P289" s="59"/>
      <c r="Q289" s="57"/>
      <c r="R289" s="57"/>
      <c r="S289" s="57"/>
      <c r="T289" s="57"/>
      <c r="U289" s="57"/>
    </row>
    <row r="290" spans="5:21" x14ac:dyDescent="0.25">
      <c r="E290" s="138"/>
      <c r="F290" s="138"/>
      <c r="I290" s="58"/>
      <c r="J290" s="58"/>
      <c r="K290" s="59"/>
      <c r="L290" s="59"/>
      <c r="O290" s="58"/>
      <c r="P290" s="59"/>
      <c r="Q290" s="57"/>
      <c r="R290" s="57"/>
      <c r="S290" s="57"/>
      <c r="T290" s="57"/>
      <c r="U290" s="57"/>
    </row>
    <row r="291" spans="5:21" x14ac:dyDescent="0.25">
      <c r="E291" s="138"/>
      <c r="F291" s="138"/>
      <c r="I291" s="58"/>
      <c r="J291" s="58"/>
      <c r="K291" s="59"/>
      <c r="L291" s="59"/>
      <c r="O291" s="58"/>
      <c r="P291" s="59"/>
      <c r="Q291" s="57"/>
      <c r="R291" s="57"/>
      <c r="S291" s="57"/>
      <c r="T291" s="57"/>
      <c r="U291" s="57"/>
    </row>
    <row r="292" spans="5:21" x14ac:dyDescent="0.25">
      <c r="E292" s="138"/>
      <c r="F292" s="138"/>
      <c r="I292" s="58"/>
      <c r="J292" s="58"/>
      <c r="K292" s="59"/>
      <c r="L292" s="59"/>
      <c r="O292" s="58"/>
      <c r="P292" s="59"/>
      <c r="Q292" s="57"/>
      <c r="R292" s="57"/>
      <c r="S292" s="57"/>
      <c r="T292" s="57"/>
      <c r="U292" s="57"/>
    </row>
    <row r="293" spans="5:21" x14ac:dyDescent="0.25">
      <c r="E293" s="138"/>
      <c r="F293" s="138"/>
      <c r="I293" s="58"/>
      <c r="J293" s="58"/>
      <c r="K293" s="59"/>
      <c r="L293" s="59"/>
      <c r="O293" s="58"/>
      <c r="P293" s="59"/>
      <c r="Q293" s="57"/>
      <c r="R293" s="57"/>
      <c r="S293" s="57"/>
      <c r="T293" s="57"/>
      <c r="U293" s="57"/>
    </row>
    <row r="294" spans="5:21" x14ac:dyDescent="0.25">
      <c r="E294" s="138"/>
      <c r="F294" s="138"/>
      <c r="I294" s="58"/>
      <c r="J294" s="58"/>
      <c r="K294" s="59"/>
      <c r="L294" s="59"/>
      <c r="O294" s="58"/>
      <c r="P294" s="59"/>
      <c r="Q294" s="57"/>
      <c r="R294" s="57"/>
      <c r="S294" s="57"/>
      <c r="T294" s="57"/>
      <c r="U294" s="57"/>
    </row>
    <row r="295" spans="5:21" x14ac:dyDescent="0.25">
      <c r="E295" s="138"/>
      <c r="F295" s="138"/>
      <c r="I295" s="58"/>
      <c r="J295" s="58"/>
      <c r="K295" s="59"/>
      <c r="L295" s="59"/>
      <c r="O295" s="58"/>
      <c r="P295" s="59"/>
      <c r="Q295" s="57"/>
      <c r="R295" s="57"/>
      <c r="S295" s="57"/>
      <c r="T295" s="57"/>
      <c r="U295" s="57"/>
    </row>
    <row r="296" spans="5:21" x14ac:dyDescent="0.25">
      <c r="E296" s="138"/>
      <c r="F296" s="138"/>
      <c r="I296" s="58"/>
      <c r="J296" s="58"/>
      <c r="K296" s="59"/>
      <c r="L296" s="59"/>
      <c r="O296" s="58"/>
      <c r="P296" s="59"/>
      <c r="Q296" s="57"/>
      <c r="R296" s="57"/>
      <c r="S296" s="57"/>
      <c r="T296" s="57"/>
      <c r="U296" s="57"/>
    </row>
    <row r="297" spans="5:21" x14ac:dyDescent="0.25">
      <c r="E297" s="138"/>
      <c r="F297" s="138"/>
      <c r="I297" s="58"/>
      <c r="J297" s="58"/>
      <c r="K297" s="59"/>
      <c r="L297" s="59"/>
      <c r="O297" s="58"/>
      <c r="P297" s="59"/>
      <c r="Q297" s="57"/>
      <c r="R297" s="57"/>
      <c r="S297" s="57"/>
      <c r="T297" s="57"/>
      <c r="U297" s="57"/>
    </row>
    <row r="298" spans="5:21" x14ac:dyDescent="0.25">
      <c r="E298" s="138"/>
      <c r="F298" s="138"/>
      <c r="I298" s="58"/>
      <c r="J298" s="58"/>
      <c r="K298" s="59"/>
      <c r="L298" s="59"/>
      <c r="O298" s="58"/>
      <c r="P298" s="59"/>
      <c r="Q298" s="57"/>
      <c r="R298" s="57"/>
      <c r="S298" s="57"/>
      <c r="T298" s="57"/>
      <c r="U298" s="57"/>
    </row>
    <row r="299" spans="5:21" x14ac:dyDescent="0.25">
      <c r="E299" s="138"/>
      <c r="F299" s="138"/>
      <c r="I299" s="58"/>
      <c r="J299" s="58"/>
      <c r="K299" s="59"/>
      <c r="L299" s="59"/>
      <c r="O299" s="58"/>
      <c r="P299" s="59"/>
      <c r="Q299" s="57"/>
      <c r="R299" s="57"/>
      <c r="S299" s="57"/>
      <c r="T299" s="57"/>
      <c r="U299" s="57"/>
    </row>
    <row r="300" spans="5:21" x14ac:dyDescent="0.25">
      <c r="E300" s="138"/>
      <c r="F300" s="138"/>
      <c r="I300" s="58"/>
      <c r="J300" s="58"/>
      <c r="K300" s="59"/>
      <c r="L300" s="59"/>
      <c r="O300" s="58"/>
      <c r="P300" s="59"/>
      <c r="Q300" s="57"/>
      <c r="R300" s="57"/>
      <c r="S300" s="57"/>
      <c r="T300" s="57"/>
      <c r="U300" s="57"/>
    </row>
    <row r="301" spans="5:21" x14ac:dyDescent="0.25">
      <c r="E301" s="138"/>
      <c r="F301" s="138"/>
      <c r="I301" s="58"/>
      <c r="J301" s="58"/>
      <c r="K301" s="59"/>
      <c r="L301" s="59"/>
      <c r="O301" s="58"/>
      <c r="P301" s="59"/>
      <c r="Q301" s="57"/>
      <c r="R301" s="57"/>
      <c r="S301" s="57"/>
      <c r="T301" s="57"/>
      <c r="U301" s="57"/>
    </row>
    <row r="302" spans="5:21" x14ac:dyDescent="0.25">
      <c r="E302" s="138"/>
      <c r="F302" s="138"/>
      <c r="I302" s="58"/>
      <c r="J302" s="58"/>
      <c r="K302" s="59"/>
      <c r="L302" s="59"/>
      <c r="O302" s="58"/>
      <c r="P302" s="59"/>
      <c r="Q302" s="57"/>
      <c r="R302" s="57"/>
      <c r="S302" s="57"/>
      <c r="T302" s="57"/>
      <c r="U302" s="57"/>
    </row>
    <row r="303" spans="5:21" x14ac:dyDescent="0.25">
      <c r="E303" s="138"/>
      <c r="F303" s="138"/>
      <c r="I303" s="58"/>
      <c r="J303" s="58"/>
      <c r="K303" s="59"/>
      <c r="L303" s="59"/>
      <c r="O303" s="58"/>
      <c r="P303" s="59"/>
      <c r="Q303" s="57"/>
      <c r="R303" s="57"/>
      <c r="S303" s="57"/>
      <c r="T303" s="57"/>
      <c r="U303" s="57"/>
    </row>
    <row r="304" spans="5:21" x14ac:dyDescent="0.25">
      <c r="E304" s="138"/>
      <c r="F304" s="138"/>
      <c r="I304" s="58"/>
      <c r="J304" s="58"/>
      <c r="K304" s="59"/>
      <c r="L304" s="59"/>
      <c r="O304" s="58"/>
      <c r="P304" s="59"/>
      <c r="Q304" s="57"/>
      <c r="R304" s="57"/>
      <c r="S304" s="57"/>
      <c r="T304" s="57"/>
      <c r="U304" s="57"/>
    </row>
    <row r="305" spans="5:21" x14ac:dyDescent="0.25">
      <c r="E305" s="138"/>
      <c r="F305" s="138"/>
      <c r="I305" s="58"/>
      <c r="J305" s="58"/>
      <c r="K305" s="59"/>
      <c r="L305" s="59"/>
      <c r="O305" s="58"/>
      <c r="P305" s="59"/>
      <c r="Q305" s="57"/>
      <c r="R305" s="57"/>
      <c r="S305" s="57"/>
      <c r="T305" s="57"/>
      <c r="U305" s="57"/>
    </row>
    <row r="306" spans="5:21" x14ac:dyDescent="0.25">
      <c r="E306" s="138"/>
      <c r="F306" s="138"/>
      <c r="I306" s="58"/>
      <c r="J306" s="58"/>
      <c r="K306" s="59"/>
      <c r="L306" s="59"/>
      <c r="O306" s="58"/>
      <c r="P306" s="59"/>
      <c r="Q306" s="57"/>
      <c r="R306" s="57"/>
      <c r="S306" s="57"/>
      <c r="T306" s="57"/>
      <c r="U306" s="57"/>
    </row>
    <row r="307" spans="5:21" x14ac:dyDescent="0.25">
      <c r="E307" s="138"/>
      <c r="F307" s="138"/>
      <c r="I307" s="58"/>
      <c r="J307" s="58"/>
      <c r="K307" s="59"/>
      <c r="L307" s="59"/>
      <c r="O307" s="58"/>
      <c r="P307" s="59"/>
      <c r="Q307" s="57"/>
      <c r="R307" s="57"/>
      <c r="S307" s="57"/>
      <c r="T307" s="57"/>
      <c r="U307" s="57"/>
    </row>
    <row r="308" spans="5:21" x14ac:dyDescent="0.25">
      <c r="E308" s="138"/>
      <c r="F308" s="138"/>
      <c r="I308" s="58"/>
      <c r="J308" s="58"/>
      <c r="K308" s="59"/>
      <c r="L308" s="59"/>
      <c r="O308" s="58"/>
      <c r="P308" s="59"/>
      <c r="Q308" s="57"/>
      <c r="R308" s="57"/>
      <c r="S308" s="57"/>
      <c r="T308" s="57"/>
      <c r="U308" s="57"/>
    </row>
    <row r="309" spans="5:21" x14ac:dyDescent="0.25">
      <c r="E309" s="138"/>
      <c r="F309" s="138"/>
      <c r="I309" s="58"/>
      <c r="J309" s="58"/>
      <c r="K309" s="59"/>
      <c r="L309" s="59"/>
      <c r="O309" s="58"/>
      <c r="P309" s="59"/>
      <c r="Q309" s="57"/>
      <c r="R309" s="57"/>
      <c r="S309" s="57"/>
      <c r="T309" s="57"/>
      <c r="U309" s="57"/>
    </row>
    <row r="310" spans="5:21" x14ac:dyDescent="0.25">
      <c r="E310" s="138"/>
      <c r="F310" s="138"/>
      <c r="I310" s="58"/>
      <c r="J310" s="58"/>
      <c r="K310" s="59"/>
      <c r="L310" s="59"/>
      <c r="O310" s="58"/>
      <c r="P310" s="59"/>
      <c r="Q310" s="57"/>
      <c r="R310" s="57"/>
      <c r="S310" s="57"/>
      <c r="T310" s="57"/>
      <c r="U310" s="57"/>
    </row>
    <row r="311" spans="5:21" x14ac:dyDescent="0.25">
      <c r="E311" s="138"/>
      <c r="F311" s="138"/>
      <c r="I311" s="58"/>
      <c r="J311" s="58"/>
      <c r="K311" s="59"/>
      <c r="L311" s="59"/>
      <c r="O311" s="58"/>
      <c r="P311" s="59"/>
      <c r="Q311" s="57"/>
      <c r="R311" s="57"/>
      <c r="S311" s="57"/>
      <c r="T311" s="57"/>
      <c r="U311" s="57"/>
    </row>
    <row r="312" spans="5:21" x14ac:dyDescent="0.25">
      <c r="E312" s="138"/>
      <c r="F312" s="138"/>
      <c r="I312" s="58"/>
      <c r="J312" s="58"/>
      <c r="K312" s="59"/>
      <c r="L312" s="59"/>
      <c r="O312" s="58"/>
      <c r="P312" s="59"/>
      <c r="Q312" s="57"/>
      <c r="R312" s="57"/>
      <c r="S312" s="57"/>
      <c r="T312" s="57"/>
      <c r="U312" s="57"/>
    </row>
    <row r="313" spans="5:21" x14ac:dyDescent="0.25">
      <c r="E313" s="138"/>
      <c r="F313" s="138"/>
      <c r="I313" s="58"/>
      <c r="J313" s="58"/>
      <c r="K313" s="59"/>
      <c r="L313" s="59"/>
      <c r="O313" s="58"/>
      <c r="P313" s="59"/>
      <c r="Q313" s="57"/>
      <c r="R313" s="57"/>
      <c r="S313" s="57"/>
      <c r="T313" s="57"/>
      <c r="U313" s="57"/>
    </row>
    <row r="314" spans="5:21" x14ac:dyDescent="0.25">
      <c r="E314" s="138"/>
      <c r="F314" s="138"/>
      <c r="I314" s="58"/>
      <c r="J314" s="58"/>
      <c r="K314" s="59"/>
      <c r="L314" s="59"/>
      <c r="O314" s="58"/>
      <c r="P314" s="59"/>
      <c r="Q314" s="57"/>
      <c r="R314" s="57"/>
      <c r="S314" s="57"/>
      <c r="T314" s="57"/>
      <c r="U314" s="57"/>
    </row>
    <row r="315" spans="5:21" x14ac:dyDescent="0.25">
      <c r="E315" s="138"/>
      <c r="F315" s="138"/>
      <c r="I315" s="58"/>
      <c r="J315" s="58"/>
      <c r="K315" s="59"/>
      <c r="L315" s="59"/>
      <c r="O315" s="58"/>
      <c r="P315" s="59"/>
      <c r="Q315" s="57"/>
      <c r="R315" s="57"/>
      <c r="S315" s="57"/>
      <c r="T315" s="57"/>
      <c r="U315" s="57"/>
    </row>
    <row r="316" spans="5:21" x14ac:dyDescent="0.25">
      <c r="E316" s="138"/>
      <c r="F316" s="138"/>
      <c r="I316" s="58"/>
      <c r="J316" s="58"/>
      <c r="K316" s="59"/>
      <c r="L316" s="59"/>
      <c r="O316" s="58"/>
      <c r="P316" s="59"/>
      <c r="Q316" s="57"/>
      <c r="R316" s="57"/>
      <c r="S316" s="57"/>
      <c r="T316" s="57"/>
      <c r="U316" s="57"/>
    </row>
    <row r="317" spans="5:21" x14ac:dyDescent="0.25">
      <c r="E317" s="138"/>
      <c r="F317" s="138"/>
      <c r="I317" s="58"/>
      <c r="J317" s="58"/>
      <c r="K317" s="59"/>
      <c r="L317" s="59"/>
      <c r="O317" s="58"/>
      <c r="P317" s="59"/>
      <c r="Q317" s="57"/>
      <c r="R317" s="57"/>
      <c r="S317" s="57"/>
      <c r="T317" s="57"/>
      <c r="U317" s="57"/>
    </row>
    <row r="318" spans="5:21" x14ac:dyDescent="0.25">
      <c r="E318" s="138"/>
      <c r="F318" s="138"/>
      <c r="I318" s="58"/>
      <c r="J318" s="58"/>
      <c r="K318" s="59"/>
      <c r="L318" s="59"/>
      <c r="O318" s="58"/>
      <c r="P318" s="59"/>
      <c r="Q318" s="57"/>
      <c r="R318" s="57"/>
      <c r="S318" s="57"/>
      <c r="T318" s="57"/>
      <c r="U318" s="57"/>
    </row>
    <row r="319" spans="5:21" x14ac:dyDescent="0.25">
      <c r="E319" s="138"/>
      <c r="F319" s="138"/>
      <c r="I319" s="58"/>
      <c r="J319" s="58"/>
      <c r="K319" s="59"/>
      <c r="L319" s="59"/>
      <c r="O319" s="58"/>
      <c r="P319" s="59"/>
      <c r="Q319" s="57"/>
      <c r="R319" s="57"/>
      <c r="S319" s="57"/>
      <c r="T319" s="57"/>
      <c r="U319" s="57"/>
    </row>
    <row r="320" spans="5:21" x14ac:dyDescent="0.25">
      <c r="E320" s="138"/>
      <c r="F320" s="138"/>
      <c r="I320" s="58"/>
      <c r="J320" s="58"/>
      <c r="K320" s="59"/>
      <c r="L320" s="59"/>
      <c r="O320" s="58"/>
      <c r="P320" s="59"/>
      <c r="Q320" s="57"/>
      <c r="R320" s="57"/>
      <c r="S320" s="57"/>
      <c r="T320" s="57"/>
      <c r="U320" s="57"/>
    </row>
    <row r="321" spans="5:21" x14ac:dyDescent="0.25">
      <c r="E321" s="138"/>
      <c r="F321" s="138"/>
      <c r="I321" s="58"/>
      <c r="J321" s="58"/>
      <c r="K321" s="59"/>
      <c r="L321" s="59"/>
      <c r="O321" s="58"/>
      <c r="P321" s="59"/>
      <c r="Q321" s="57"/>
      <c r="R321" s="57"/>
      <c r="S321" s="57"/>
      <c r="T321" s="57"/>
      <c r="U321" s="57"/>
    </row>
    <row r="322" spans="5:21" x14ac:dyDescent="0.25">
      <c r="E322" s="138"/>
      <c r="F322" s="138"/>
      <c r="I322" s="58"/>
      <c r="J322" s="58"/>
      <c r="K322" s="59"/>
      <c r="L322" s="59"/>
      <c r="O322" s="58"/>
      <c r="P322" s="59"/>
      <c r="Q322" s="57"/>
      <c r="R322" s="57"/>
      <c r="S322" s="57"/>
      <c r="T322" s="57"/>
      <c r="U322" s="57"/>
    </row>
    <row r="323" spans="5:21" x14ac:dyDescent="0.25">
      <c r="E323" s="138"/>
      <c r="F323" s="138"/>
      <c r="I323" s="58"/>
      <c r="J323" s="58"/>
      <c r="K323" s="59"/>
      <c r="L323" s="59"/>
      <c r="O323" s="58"/>
      <c r="P323" s="59"/>
      <c r="Q323" s="57"/>
      <c r="R323" s="57"/>
      <c r="S323" s="57"/>
      <c r="T323" s="57"/>
      <c r="U323" s="57"/>
    </row>
    <row r="324" spans="5:21" x14ac:dyDescent="0.25">
      <c r="E324" s="138"/>
      <c r="F324" s="138"/>
      <c r="I324" s="58"/>
      <c r="J324" s="58"/>
      <c r="K324" s="59"/>
      <c r="L324" s="59"/>
      <c r="O324" s="58"/>
      <c r="P324" s="59"/>
      <c r="Q324" s="57"/>
      <c r="R324" s="57"/>
      <c r="S324" s="57"/>
      <c r="T324" s="57"/>
      <c r="U324" s="57"/>
    </row>
    <row r="325" spans="5:21" x14ac:dyDescent="0.25">
      <c r="E325" s="138"/>
      <c r="F325" s="138"/>
      <c r="I325" s="58"/>
      <c r="J325" s="58"/>
      <c r="K325" s="59"/>
      <c r="L325" s="59"/>
      <c r="O325" s="58"/>
      <c r="P325" s="59"/>
      <c r="Q325" s="57"/>
      <c r="R325" s="57"/>
      <c r="S325" s="57"/>
      <c r="T325" s="57"/>
      <c r="U325" s="57"/>
    </row>
    <row r="326" spans="5:21" x14ac:dyDescent="0.25">
      <c r="E326" s="138"/>
      <c r="F326" s="138"/>
      <c r="I326" s="58"/>
      <c r="J326" s="58"/>
      <c r="K326" s="59"/>
      <c r="L326" s="59"/>
      <c r="O326" s="58"/>
      <c r="P326" s="59"/>
      <c r="Q326" s="57"/>
      <c r="R326" s="57"/>
      <c r="S326" s="57"/>
      <c r="T326" s="57"/>
      <c r="U326" s="57"/>
    </row>
    <row r="327" spans="5:21" x14ac:dyDescent="0.25">
      <c r="E327" s="138"/>
      <c r="F327" s="138"/>
      <c r="I327" s="58"/>
      <c r="J327" s="58"/>
      <c r="K327" s="59"/>
      <c r="L327" s="59"/>
      <c r="O327" s="58"/>
      <c r="P327" s="59"/>
      <c r="Q327" s="57"/>
      <c r="R327" s="57"/>
      <c r="S327" s="57"/>
      <c r="T327" s="57"/>
      <c r="U327" s="57"/>
    </row>
    <row r="328" spans="5:21" x14ac:dyDescent="0.25">
      <c r="E328" s="138"/>
      <c r="F328" s="138"/>
      <c r="I328" s="58"/>
      <c r="J328" s="58"/>
      <c r="K328" s="59"/>
      <c r="L328" s="59"/>
      <c r="O328" s="58"/>
      <c r="P328" s="59"/>
      <c r="Q328" s="57"/>
      <c r="R328" s="57"/>
      <c r="S328" s="57"/>
      <c r="T328" s="57"/>
      <c r="U328" s="57"/>
    </row>
    <row r="329" spans="5:21" x14ac:dyDescent="0.25">
      <c r="E329" s="138"/>
      <c r="F329" s="138"/>
      <c r="I329" s="58"/>
      <c r="J329" s="58"/>
      <c r="K329" s="59"/>
      <c r="L329" s="59"/>
      <c r="O329" s="58"/>
      <c r="P329" s="59"/>
      <c r="Q329" s="57"/>
      <c r="R329" s="57"/>
      <c r="S329" s="57"/>
      <c r="T329" s="57"/>
      <c r="U329" s="57"/>
    </row>
    <row r="330" spans="5:21" x14ac:dyDescent="0.25">
      <c r="E330" s="138"/>
      <c r="F330" s="138"/>
      <c r="I330" s="58"/>
      <c r="J330" s="58"/>
      <c r="K330" s="59"/>
      <c r="L330" s="59"/>
      <c r="O330" s="58"/>
      <c r="P330" s="59"/>
      <c r="Q330" s="57"/>
      <c r="R330" s="57"/>
      <c r="S330" s="57"/>
      <c r="T330" s="57"/>
      <c r="U330" s="57"/>
    </row>
    <row r="331" spans="5:21" x14ac:dyDescent="0.25">
      <c r="E331" s="138"/>
      <c r="F331" s="138"/>
      <c r="I331" s="58"/>
      <c r="J331" s="58"/>
      <c r="K331" s="59"/>
      <c r="L331" s="59"/>
      <c r="O331" s="58"/>
      <c r="P331" s="59"/>
      <c r="Q331" s="57"/>
      <c r="R331" s="57"/>
      <c r="S331" s="57"/>
      <c r="T331" s="57"/>
      <c r="U331" s="57"/>
    </row>
    <row r="332" spans="5:21" x14ac:dyDescent="0.25">
      <c r="E332" s="138"/>
      <c r="F332" s="138"/>
      <c r="I332" s="58"/>
      <c r="J332" s="58"/>
      <c r="K332" s="59"/>
      <c r="L332" s="59"/>
      <c r="O332" s="58"/>
      <c r="P332" s="59"/>
      <c r="Q332" s="57"/>
      <c r="R332" s="57"/>
      <c r="S332" s="57"/>
      <c r="T332" s="57"/>
      <c r="U332" s="57"/>
    </row>
    <row r="333" spans="5:21" x14ac:dyDescent="0.25">
      <c r="E333" s="138"/>
      <c r="F333" s="138"/>
      <c r="I333" s="58"/>
      <c r="J333" s="58"/>
      <c r="K333" s="59"/>
      <c r="L333" s="59"/>
      <c r="O333" s="58"/>
      <c r="P333" s="59"/>
      <c r="Q333" s="57"/>
      <c r="R333" s="57"/>
      <c r="S333" s="57"/>
      <c r="T333" s="57"/>
      <c r="U333" s="57"/>
    </row>
    <row r="334" spans="5:21" x14ac:dyDescent="0.25">
      <c r="E334" s="138"/>
      <c r="F334" s="138"/>
      <c r="I334" s="58"/>
      <c r="J334" s="58"/>
      <c r="K334" s="59"/>
      <c r="L334" s="59"/>
      <c r="O334" s="58"/>
      <c r="P334" s="59"/>
      <c r="Q334" s="57"/>
      <c r="R334" s="57"/>
      <c r="S334" s="57"/>
      <c r="T334" s="57"/>
      <c r="U334" s="57"/>
    </row>
    <row r="335" spans="5:21" x14ac:dyDescent="0.25">
      <c r="E335" s="138"/>
      <c r="F335" s="138"/>
      <c r="I335" s="58"/>
      <c r="J335" s="58"/>
      <c r="K335" s="59"/>
      <c r="L335" s="59"/>
      <c r="O335" s="58"/>
      <c r="P335" s="59"/>
      <c r="Q335" s="57"/>
      <c r="R335" s="57"/>
      <c r="S335" s="57"/>
      <c r="T335" s="57"/>
      <c r="U335" s="57"/>
    </row>
    <row r="336" spans="5:21" x14ac:dyDescent="0.25">
      <c r="E336" s="138"/>
      <c r="F336" s="138"/>
      <c r="I336" s="58"/>
      <c r="J336" s="58"/>
      <c r="K336" s="59"/>
      <c r="L336" s="59"/>
      <c r="O336" s="58"/>
      <c r="P336" s="59"/>
      <c r="Q336" s="57"/>
      <c r="R336" s="57"/>
      <c r="S336" s="57"/>
      <c r="T336" s="57"/>
      <c r="U336" s="57"/>
    </row>
    <row r="337" spans="5:21" x14ac:dyDescent="0.25">
      <c r="E337" s="138"/>
      <c r="F337" s="138"/>
      <c r="I337" s="58"/>
      <c r="J337" s="58"/>
      <c r="K337" s="59"/>
      <c r="L337" s="59"/>
      <c r="O337" s="58"/>
      <c r="P337" s="59"/>
      <c r="Q337" s="57"/>
      <c r="R337" s="57"/>
      <c r="S337" s="57"/>
      <c r="T337" s="57"/>
      <c r="U337" s="57"/>
    </row>
    <row r="338" spans="5:21" x14ac:dyDescent="0.25">
      <c r="E338" s="138"/>
      <c r="F338" s="138"/>
      <c r="I338" s="58"/>
      <c r="J338" s="58"/>
      <c r="K338" s="59"/>
      <c r="L338" s="59"/>
      <c r="O338" s="58"/>
      <c r="P338" s="59"/>
      <c r="Q338" s="57"/>
      <c r="R338" s="57"/>
      <c r="S338" s="57"/>
      <c r="T338" s="57"/>
      <c r="U338" s="57"/>
    </row>
    <row r="339" spans="5:21" x14ac:dyDescent="0.25">
      <c r="E339" s="138"/>
      <c r="F339" s="138"/>
      <c r="I339" s="58"/>
      <c r="J339" s="58"/>
      <c r="K339" s="59"/>
      <c r="L339" s="59"/>
      <c r="O339" s="58"/>
      <c r="P339" s="59"/>
      <c r="Q339" s="57"/>
      <c r="R339" s="57"/>
      <c r="S339" s="57"/>
      <c r="T339" s="57"/>
      <c r="U339" s="57"/>
    </row>
    <row r="340" spans="5:21" x14ac:dyDescent="0.25">
      <c r="E340" s="138"/>
      <c r="F340" s="138"/>
      <c r="I340" s="58"/>
      <c r="J340" s="58"/>
      <c r="K340" s="59"/>
      <c r="L340" s="59"/>
      <c r="O340" s="58"/>
      <c r="P340" s="59"/>
      <c r="Q340" s="57"/>
      <c r="R340" s="57"/>
      <c r="S340" s="57"/>
      <c r="T340" s="57"/>
      <c r="U340" s="57"/>
    </row>
    <row r="341" spans="5:21" x14ac:dyDescent="0.25">
      <c r="E341" s="138"/>
      <c r="F341" s="138"/>
      <c r="I341" s="58"/>
      <c r="J341" s="58"/>
      <c r="K341" s="59"/>
      <c r="L341" s="59"/>
      <c r="O341" s="58"/>
      <c r="P341" s="59"/>
      <c r="Q341" s="57"/>
      <c r="R341" s="57"/>
      <c r="S341" s="57"/>
      <c r="T341" s="57"/>
      <c r="U341" s="57"/>
    </row>
    <row r="342" spans="5:21" x14ac:dyDescent="0.25">
      <c r="E342" s="138"/>
      <c r="F342" s="138"/>
      <c r="I342" s="58"/>
      <c r="J342" s="58"/>
      <c r="K342" s="59"/>
      <c r="L342" s="59"/>
      <c r="O342" s="58"/>
      <c r="P342" s="59"/>
      <c r="Q342" s="57"/>
      <c r="R342" s="57"/>
      <c r="S342" s="57"/>
      <c r="T342" s="57"/>
      <c r="U342" s="57"/>
    </row>
    <row r="343" spans="5:21" x14ac:dyDescent="0.25">
      <c r="E343" s="138"/>
      <c r="F343" s="138"/>
      <c r="I343" s="58"/>
      <c r="J343" s="58"/>
      <c r="K343" s="59"/>
      <c r="L343" s="59"/>
      <c r="O343" s="58"/>
      <c r="P343" s="59"/>
      <c r="Q343" s="57"/>
      <c r="R343" s="57"/>
      <c r="S343" s="57"/>
      <c r="T343" s="57"/>
      <c r="U343" s="57"/>
    </row>
    <row r="344" spans="5:21" x14ac:dyDescent="0.25">
      <c r="E344" s="138"/>
      <c r="F344" s="138"/>
      <c r="I344" s="58"/>
      <c r="J344" s="58"/>
      <c r="K344" s="59"/>
      <c r="L344" s="59"/>
      <c r="O344" s="58"/>
      <c r="P344" s="59"/>
      <c r="Q344" s="57"/>
      <c r="R344" s="57"/>
      <c r="S344" s="57"/>
      <c r="T344" s="57"/>
      <c r="U344" s="57"/>
    </row>
    <row r="345" spans="5:21" x14ac:dyDescent="0.25">
      <c r="E345" s="138"/>
      <c r="F345" s="138"/>
      <c r="I345" s="58"/>
      <c r="J345" s="58"/>
      <c r="K345" s="59"/>
      <c r="L345" s="59"/>
      <c r="O345" s="58"/>
      <c r="P345" s="59"/>
      <c r="Q345" s="57"/>
      <c r="R345" s="57"/>
      <c r="S345" s="57"/>
      <c r="T345" s="57"/>
      <c r="U345" s="57"/>
    </row>
    <row r="346" spans="5:21" x14ac:dyDescent="0.25">
      <c r="E346" s="138"/>
      <c r="F346" s="138"/>
      <c r="I346" s="58"/>
      <c r="J346" s="58"/>
      <c r="K346" s="59"/>
      <c r="L346" s="59"/>
      <c r="O346" s="58"/>
      <c r="P346" s="59"/>
      <c r="Q346" s="57"/>
      <c r="R346" s="57"/>
      <c r="S346" s="57"/>
      <c r="T346" s="57"/>
      <c r="U346" s="57"/>
    </row>
    <row r="347" spans="5:21" x14ac:dyDescent="0.25">
      <c r="E347" s="138"/>
      <c r="F347" s="138"/>
      <c r="I347" s="58"/>
      <c r="J347" s="58"/>
      <c r="K347" s="59"/>
      <c r="L347" s="59"/>
      <c r="O347" s="58"/>
      <c r="P347" s="59"/>
      <c r="Q347" s="57"/>
      <c r="R347" s="57"/>
      <c r="S347" s="57"/>
      <c r="T347" s="57"/>
      <c r="U347" s="57"/>
    </row>
    <row r="348" spans="5:21" x14ac:dyDescent="0.25">
      <c r="E348" s="138"/>
      <c r="F348" s="138"/>
      <c r="I348" s="58"/>
      <c r="J348" s="58"/>
      <c r="K348" s="59"/>
      <c r="L348" s="59"/>
      <c r="O348" s="58"/>
      <c r="P348" s="59"/>
      <c r="Q348" s="57"/>
      <c r="R348" s="57"/>
      <c r="S348" s="57"/>
      <c r="T348" s="57"/>
      <c r="U348" s="57"/>
    </row>
    <row r="349" spans="5:21" x14ac:dyDescent="0.25">
      <c r="E349" s="138"/>
      <c r="F349" s="138"/>
      <c r="I349" s="58"/>
      <c r="J349" s="58"/>
      <c r="K349" s="59"/>
      <c r="L349" s="59"/>
      <c r="O349" s="58"/>
      <c r="P349" s="59"/>
      <c r="Q349" s="57"/>
      <c r="R349" s="57"/>
      <c r="S349" s="57"/>
      <c r="T349" s="57"/>
      <c r="U349" s="57"/>
    </row>
    <row r="350" spans="5:21" x14ac:dyDescent="0.25">
      <c r="E350" s="138"/>
      <c r="F350" s="138"/>
      <c r="I350" s="58"/>
      <c r="J350" s="58"/>
      <c r="K350" s="59"/>
      <c r="L350" s="59"/>
      <c r="O350" s="58"/>
      <c r="P350" s="59"/>
      <c r="Q350" s="57"/>
      <c r="R350" s="57"/>
      <c r="S350" s="57"/>
      <c r="T350" s="57"/>
      <c r="U350" s="57"/>
    </row>
    <row r="351" spans="5:21" x14ac:dyDescent="0.25">
      <c r="E351" s="138"/>
      <c r="F351" s="138"/>
      <c r="I351" s="58"/>
      <c r="J351" s="58"/>
      <c r="K351" s="59"/>
      <c r="L351" s="59"/>
      <c r="O351" s="58"/>
      <c r="P351" s="59"/>
      <c r="Q351" s="57"/>
      <c r="R351" s="57"/>
      <c r="S351" s="57"/>
      <c r="T351" s="57"/>
      <c r="U351" s="57"/>
    </row>
    <row r="352" spans="5:21" x14ac:dyDescent="0.25">
      <c r="E352" s="138"/>
      <c r="F352" s="138"/>
      <c r="I352" s="58"/>
      <c r="J352" s="58"/>
      <c r="K352" s="59"/>
      <c r="L352" s="59"/>
      <c r="O352" s="58"/>
      <c r="P352" s="59"/>
      <c r="Q352" s="57"/>
      <c r="R352" s="57"/>
      <c r="S352" s="57"/>
      <c r="T352" s="57"/>
      <c r="U352" s="57"/>
    </row>
    <row r="353" spans="5:21" x14ac:dyDescent="0.25">
      <c r="E353" s="138"/>
      <c r="F353" s="138"/>
      <c r="I353" s="58"/>
      <c r="J353" s="58"/>
      <c r="K353" s="59"/>
      <c r="L353" s="59"/>
      <c r="O353" s="58"/>
      <c r="P353" s="59"/>
      <c r="Q353" s="57"/>
      <c r="R353" s="57"/>
      <c r="S353" s="57"/>
      <c r="T353" s="57"/>
      <c r="U353" s="57"/>
    </row>
    <row r="354" spans="5:21" x14ac:dyDescent="0.25">
      <c r="E354" s="138"/>
      <c r="F354" s="138"/>
      <c r="I354" s="58"/>
      <c r="J354" s="58"/>
      <c r="K354" s="59"/>
      <c r="L354" s="59"/>
      <c r="O354" s="58"/>
      <c r="P354" s="59"/>
      <c r="Q354" s="57"/>
      <c r="R354" s="57"/>
      <c r="S354" s="57"/>
      <c r="T354" s="57"/>
      <c r="U354" s="57"/>
    </row>
    <row r="355" spans="5:21" x14ac:dyDescent="0.25">
      <c r="E355" s="138"/>
      <c r="F355" s="138"/>
      <c r="I355" s="58"/>
      <c r="J355" s="58"/>
      <c r="K355" s="59"/>
      <c r="L355" s="59"/>
      <c r="O355" s="58"/>
      <c r="P355" s="59"/>
      <c r="Q355" s="57"/>
      <c r="R355" s="57"/>
      <c r="S355" s="57"/>
      <c r="T355" s="57"/>
      <c r="U355" s="57"/>
    </row>
    <row r="356" spans="5:21" x14ac:dyDescent="0.25">
      <c r="E356" s="138"/>
      <c r="F356" s="138"/>
      <c r="I356" s="58"/>
      <c r="J356" s="58"/>
      <c r="K356" s="59"/>
      <c r="L356" s="59"/>
      <c r="O356" s="58"/>
      <c r="P356" s="59"/>
      <c r="Q356" s="57"/>
      <c r="R356" s="57"/>
      <c r="S356" s="57"/>
      <c r="T356" s="57"/>
      <c r="U356" s="57"/>
    </row>
    <row r="357" spans="5:21" x14ac:dyDescent="0.25">
      <c r="E357" s="138"/>
      <c r="F357" s="138"/>
      <c r="I357" s="58"/>
      <c r="J357" s="58"/>
      <c r="K357" s="59"/>
      <c r="L357" s="59"/>
      <c r="O357" s="58"/>
      <c r="P357" s="59"/>
      <c r="Q357" s="57"/>
      <c r="R357" s="57"/>
      <c r="S357" s="57"/>
      <c r="T357" s="57"/>
      <c r="U357" s="57"/>
    </row>
    <row r="358" spans="5:21" x14ac:dyDescent="0.25">
      <c r="E358" s="138"/>
      <c r="F358" s="138"/>
      <c r="I358" s="58"/>
      <c r="J358" s="58"/>
      <c r="K358" s="59"/>
      <c r="L358" s="59"/>
      <c r="O358" s="58"/>
      <c r="P358" s="59"/>
      <c r="Q358" s="57"/>
      <c r="R358" s="57"/>
      <c r="S358" s="57"/>
      <c r="T358" s="57"/>
      <c r="U358" s="57"/>
    </row>
    <row r="359" spans="5:21" x14ac:dyDescent="0.25">
      <c r="E359" s="138"/>
      <c r="F359" s="138"/>
      <c r="I359" s="58"/>
      <c r="J359" s="58"/>
      <c r="K359" s="59"/>
      <c r="L359" s="59"/>
      <c r="O359" s="58"/>
      <c r="P359" s="59"/>
      <c r="Q359" s="57"/>
      <c r="R359" s="57"/>
      <c r="S359" s="57"/>
      <c r="T359" s="57"/>
      <c r="U359" s="57"/>
    </row>
    <row r="360" spans="5:21" x14ac:dyDescent="0.25">
      <c r="E360" s="138"/>
      <c r="F360" s="138"/>
      <c r="I360" s="58"/>
      <c r="J360" s="58"/>
      <c r="K360" s="59"/>
      <c r="L360" s="59"/>
      <c r="O360" s="58"/>
      <c r="P360" s="59"/>
      <c r="Q360" s="57"/>
      <c r="R360" s="57"/>
      <c r="S360" s="57"/>
      <c r="T360" s="57"/>
      <c r="U360" s="57"/>
    </row>
    <row r="361" spans="5:21" x14ac:dyDescent="0.25">
      <c r="E361" s="138"/>
      <c r="F361" s="138"/>
      <c r="I361" s="58"/>
      <c r="J361" s="58"/>
      <c r="K361" s="59"/>
      <c r="L361" s="59"/>
      <c r="O361" s="58"/>
      <c r="P361" s="59"/>
      <c r="Q361" s="57"/>
      <c r="R361" s="57"/>
      <c r="S361" s="57"/>
      <c r="T361" s="57"/>
      <c r="U361" s="57"/>
    </row>
    <row r="362" spans="5:21" x14ac:dyDescent="0.25">
      <c r="E362" s="138"/>
      <c r="F362" s="138"/>
      <c r="I362" s="58"/>
      <c r="J362" s="58"/>
      <c r="K362" s="59"/>
      <c r="L362" s="59"/>
      <c r="O362" s="58"/>
      <c r="P362" s="59"/>
      <c r="Q362" s="57"/>
      <c r="R362" s="57"/>
      <c r="S362" s="57"/>
      <c r="T362" s="57"/>
      <c r="U362" s="57"/>
    </row>
    <row r="363" spans="5:21" x14ac:dyDescent="0.25">
      <c r="E363" s="138"/>
      <c r="F363" s="138"/>
      <c r="I363" s="58"/>
      <c r="J363" s="58"/>
      <c r="K363" s="59"/>
      <c r="L363" s="59"/>
      <c r="O363" s="58"/>
      <c r="P363" s="59"/>
      <c r="Q363" s="57"/>
      <c r="R363" s="57"/>
      <c r="S363" s="57"/>
      <c r="T363" s="57"/>
      <c r="U363" s="57"/>
    </row>
    <row r="364" spans="5:21" x14ac:dyDescent="0.25">
      <c r="E364" s="138"/>
      <c r="F364" s="138"/>
      <c r="I364" s="58"/>
      <c r="J364" s="58"/>
      <c r="K364" s="59"/>
      <c r="L364" s="59"/>
      <c r="O364" s="58"/>
      <c r="P364" s="59"/>
      <c r="Q364" s="57"/>
      <c r="R364" s="57"/>
      <c r="S364" s="57"/>
      <c r="T364" s="57"/>
      <c r="U364" s="57"/>
    </row>
    <row r="365" spans="5:21" x14ac:dyDescent="0.25">
      <c r="E365" s="138"/>
      <c r="F365" s="138"/>
      <c r="I365" s="58"/>
      <c r="J365" s="58"/>
      <c r="K365" s="59"/>
      <c r="L365" s="59"/>
      <c r="O365" s="58"/>
      <c r="P365" s="59"/>
      <c r="Q365" s="57"/>
      <c r="R365" s="57"/>
      <c r="S365" s="57"/>
      <c r="T365" s="57"/>
      <c r="U365" s="57"/>
    </row>
    <row r="366" spans="5:21" x14ac:dyDescent="0.25">
      <c r="E366" s="138"/>
      <c r="F366" s="138"/>
      <c r="I366" s="58"/>
      <c r="J366" s="58"/>
      <c r="K366" s="59"/>
      <c r="L366" s="59"/>
      <c r="O366" s="58"/>
      <c r="P366" s="59"/>
      <c r="Q366" s="57"/>
      <c r="R366" s="57"/>
      <c r="S366" s="57"/>
      <c r="T366" s="57"/>
      <c r="U366" s="57"/>
    </row>
    <row r="367" spans="5:21" x14ac:dyDescent="0.25">
      <c r="E367" s="138"/>
      <c r="F367" s="138"/>
      <c r="I367" s="58"/>
      <c r="J367" s="58"/>
      <c r="K367" s="59"/>
      <c r="L367" s="59"/>
      <c r="O367" s="58"/>
      <c r="P367" s="59"/>
      <c r="Q367" s="57"/>
      <c r="R367" s="57"/>
      <c r="S367" s="57"/>
      <c r="T367" s="57"/>
      <c r="U367" s="57"/>
    </row>
    <row r="368" spans="5:21" x14ac:dyDescent="0.25">
      <c r="E368" s="138"/>
      <c r="F368" s="138"/>
      <c r="I368" s="58"/>
      <c r="J368" s="58"/>
      <c r="K368" s="59"/>
      <c r="L368" s="59"/>
      <c r="O368" s="58"/>
      <c r="P368" s="59"/>
      <c r="Q368" s="57"/>
      <c r="R368" s="57"/>
      <c r="S368" s="57"/>
      <c r="T368" s="57"/>
      <c r="U368" s="57"/>
    </row>
    <row r="369" spans="5:21" x14ac:dyDescent="0.25">
      <c r="E369" s="138"/>
      <c r="F369" s="138"/>
      <c r="I369" s="58"/>
      <c r="J369" s="58"/>
      <c r="K369" s="59"/>
      <c r="L369" s="59"/>
      <c r="O369" s="58"/>
      <c r="P369" s="59"/>
      <c r="Q369" s="57"/>
      <c r="R369" s="57"/>
      <c r="S369" s="57"/>
      <c r="T369" s="57"/>
      <c r="U369" s="57"/>
    </row>
    <row r="370" spans="5:21" x14ac:dyDescent="0.25">
      <c r="E370" s="138"/>
      <c r="F370" s="138"/>
      <c r="I370" s="58"/>
      <c r="J370" s="58"/>
      <c r="K370" s="59"/>
      <c r="L370" s="59"/>
      <c r="O370" s="58"/>
      <c r="P370" s="59"/>
      <c r="Q370" s="57"/>
      <c r="R370" s="57"/>
      <c r="S370" s="57"/>
      <c r="T370" s="57"/>
      <c r="U370" s="57"/>
    </row>
    <row r="371" spans="5:21" x14ac:dyDescent="0.25">
      <c r="E371" s="138"/>
      <c r="F371" s="138"/>
      <c r="I371" s="58"/>
      <c r="J371" s="58"/>
      <c r="K371" s="59"/>
      <c r="L371" s="59"/>
      <c r="O371" s="58"/>
      <c r="P371" s="59"/>
      <c r="Q371" s="57"/>
      <c r="R371" s="57"/>
      <c r="S371" s="57"/>
      <c r="T371" s="57"/>
      <c r="U371" s="57"/>
    </row>
    <row r="372" spans="5:21" x14ac:dyDescent="0.25">
      <c r="E372" s="138"/>
      <c r="F372" s="138"/>
      <c r="I372" s="58"/>
      <c r="J372" s="58"/>
      <c r="K372" s="59"/>
      <c r="L372" s="59"/>
      <c r="O372" s="58"/>
      <c r="P372" s="59"/>
      <c r="Q372" s="57"/>
      <c r="R372" s="57"/>
      <c r="S372" s="57"/>
      <c r="T372" s="57"/>
      <c r="U372" s="57"/>
    </row>
    <row r="373" spans="5:21" x14ac:dyDescent="0.25">
      <c r="E373" s="138"/>
      <c r="F373" s="138"/>
      <c r="I373" s="58"/>
      <c r="J373" s="58"/>
      <c r="K373" s="59"/>
      <c r="L373" s="59"/>
      <c r="O373" s="58"/>
      <c r="P373" s="59"/>
      <c r="Q373" s="57"/>
      <c r="R373" s="57"/>
      <c r="S373" s="57"/>
      <c r="T373" s="57"/>
      <c r="U373" s="57"/>
    </row>
    <row r="374" spans="5:21" x14ac:dyDescent="0.25">
      <c r="E374" s="138"/>
      <c r="F374" s="138"/>
      <c r="I374" s="58"/>
      <c r="J374" s="58"/>
      <c r="K374" s="59"/>
      <c r="L374" s="59"/>
      <c r="O374" s="58"/>
      <c r="P374" s="59"/>
      <c r="Q374" s="57"/>
      <c r="R374" s="57"/>
      <c r="S374" s="57"/>
      <c r="T374" s="57"/>
      <c r="U374" s="57"/>
    </row>
    <row r="375" spans="5:21" x14ac:dyDescent="0.25">
      <c r="E375" s="138"/>
      <c r="F375" s="138"/>
      <c r="I375" s="58"/>
      <c r="J375" s="58"/>
      <c r="K375" s="59"/>
      <c r="L375" s="59"/>
      <c r="O375" s="58"/>
      <c r="P375" s="59"/>
      <c r="Q375" s="57"/>
      <c r="R375" s="57"/>
      <c r="S375" s="57"/>
      <c r="T375" s="57"/>
      <c r="U375" s="57"/>
    </row>
    <row r="376" spans="5:21" x14ac:dyDescent="0.25">
      <c r="E376" s="138"/>
      <c r="F376" s="138"/>
      <c r="I376" s="58"/>
      <c r="J376" s="58"/>
      <c r="K376" s="59"/>
      <c r="L376" s="59"/>
      <c r="O376" s="58"/>
      <c r="P376" s="59"/>
      <c r="Q376" s="57"/>
      <c r="R376" s="57"/>
      <c r="S376" s="57"/>
      <c r="T376" s="57"/>
      <c r="U376" s="57"/>
    </row>
    <row r="377" spans="5:21" x14ac:dyDescent="0.25">
      <c r="E377" s="138"/>
      <c r="F377" s="138"/>
      <c r="I377" s="58"/>
      <c r="J377" s="58"/>
      <c r="K377" s="59"/>
      <c r="L377" s="59"/>
      <c r="O377" s="58"/>
      <c r="P377" s="59"/>
      <c r="Q377" s="57"/>
      <c r="R377" s="57"/>
      <c r="S377" s="57"/>
      <c r="T377" s="57"/>
      <c r="U377" s="57"/>
    </row>
    <row r="378" spans="5:21" x14ac:dyDescent="0.25">
      <c r="E378" s="138"/>
      <c r="F378" s="138"/>
      <c r="I378" s="58"/>
      <c r="J378" s="58"/>
      <c r="K378" s="59"/>
      <c r="L378" s="59"/>
      <c r="O378" s="58"/>
      <c r="P378" s="59"/>
      <c r="Q378" s="57"/>
      <c r="R378" s="57"/>
      <c r="S378" s="57"/>
      <c r="T378" s="57"/>
      <c r="U378" s="57"/>
    </row>
    <row r="379" spans="5:21" x14ac:dyDescent="0.25">
      <c r="E379" s="138"/>
      <c r="F379" s="138"/>
      <c r="I379" s="58"/>
      <c r="J379" s="58"/>
      <c r="K379" s="59"/>
      <c r="L379" s="59"/>
      <c r="O379" s="58"/>
      <c r="P379" s="59"/>
      <c r="Q379" s="57"/>
      <c r="R379" s="57"/>
      <c r="S379" s="57"/>
      <c r="T379" s="57"/>
      <c r="U379" s="57"/>
    </row>
    <row r="380" spans="5:21" x14ac:dyDescent="0.25">
      <c r="E380" s="138"/>
      <c r="F380" s="138"/>
      <c r="I380" s="58"/>
      <c r="J380" s="58"/>
      <c r="K380" s="59"/>
      <c r="L380" s="59"/>
      <c r="O380" s="58"/>
      <c r="P380" s="59"/>
      <c r="Q380" s="57"/>
      <c r="R380" s="57"/>
      <c r="S380" s="57"/>
      <c r="T380" s="57"/>
      <c r="U380" s="57"/>
    </row>
    <row r="381" spans="5:21" x14ac:dyDescent="0.25">
      <c r="E381" s="138"/>
      <c r="F381" s="138"/>
      <c r="I381" s="58"/>
      <c r="J381" s="58"/>
      <c r="K381" s="59"/>
      <c r="L381" s="59"/>
      <c r="O381" s="58"/>
      <c r="P381" s="59"/>
      <c r="Q381" s="57"/>
      <c r="R381" s="57"/>
      <c r="S381" s="57"/>
      <c r="T381" s="57"/>
      <c r="U381" s="57"/>
    </row>
    <row r="382" spans="5:21" x14ac:dyDescent="0.25">
      <c r="E382" s="138"/>
      <c r="F382" s="138"/>
      <c r="I382" s="58"/>
      <c r="J382" s="58"/>
      <c r="K382" s="59"/>
      <c r="L382" s="59"/>
      <c r="O382" s="58"/>
      <c r="P382" s="59"/>
      <c r="Q382" s="57"/>
      <c r="R382" s="57"/>
      <c r="S382" s="57"/>
      <c r="T382" s="57"/>
      <c r="U382" s="57"/>
    </row>
    <row r="383" spans="5:21" x14ac:dyDescent="0.25">
      <c r="E383" s="138"/>
      <c r="F383" s="138"/>
      <c r="I383" s="58"/>
      <c r="J383" s="58"/>
      <c r="K383" s="59"/>
      <c r="L383" s="59"/>
      <c r="O383" s="58"/>
      <c r="P383" s="59"/>
      <c r="Q383" s="57"/>
      <c r="R383" s="57"/>
      <c r="S383" s="57"/>
      <c r="T383" s="57"/>
      <c r="U383" s="57"/>
    </row>
    <row r="384" spans="5:21" x14ac:dyDescent="0.25">
      <c r="E384" s="138"/>
      <c r="F384" s="138"/>
      <c r="I384" s="58"/>
      <c r="J384" s="58"/>
      <c r="K384" s="59"/>
      <c r="L384" s="59"/>
      <c r="O384" s="58"/>
      <c r="P384" s="59"/>
      <c r="Q384" s="57"/>
      <c r="R384" s="57"/>
      <c r="S384" s="57"/>
      <c r="T384" s="57"/>
      <c r="U384" s="57"/>
    </row>
    <row r="385" spans="5:21" x14ac:dyDescent="0.25">
      <c r="E385" s="138"/>
      <c r="F385" s="138"/>
      <c r="I385" s="58"/>
      <c r="J385" s="58"/>
      <c r="K385" s="59"/>
      <c r="L385" s="59"/>
      <c r="O385" s="58"/>
      <c r="P385" s="59"/>
      <c r="Q385" s="57"/>
      <c r="R385" s="57"/>
      <c r="S385" s="57"/>
      <c r="T385" s="57"/>
      <c r="U385" s="57"/>
    </row>
    <row r="386" spans="5:21" x14ac:dyDescent="0.25">
      <c r="E386" s="138"/>
      <c r="F386" s="138"/>
      <c r="I386" s="58"/>
      <c r="J386" s="58"/>
      <c r="K386" s="59"/>
      <c r="L386" s="59"/>
      <c r="O386" s="58"/>
      <c r="P386" s="59"/>
      <c r="Q386" s="57"/>
      <c r="R386" s="57"/>
      <c r="S386" s="57"/>
      <c r="T386" s="57"/>
      <c r="U386" s="57"/>
    </row>
    <row r="387" spans="5:21" x14ac:dyDescent="0.25">
      <c r="E387" s="138"/>
      <c r="F387" s="138"/>
      <c r="I387" s="58"/>
      <c r="J387" s="58"/>
      <c r="K387" s="59"/>
      <c r="L387" s="59"/>
      <c r="O387" s="58"/>
      <c r="P387" s="59"/>
      <c r="Q387" s="57"/>
      <c r="R387" s="57"/>
      <c r="S387" s="57"/>
      <c r="T387" s="57"/>
      <c r="U387" s="57"/>
    </row>
    <row r="388" spans="5:21" x14ac:dyDescent="0.25">
      <c r="E388" s="138"/>
      <c r="F388" s="138"/>
      <c r="I388" s="58"/>
      <c r="J388" s="58"/>
      <c r="K388" s="59"/>
      <c r="L388" s="59"/>
      <c r="O388" s="58"/>
      <c r="P388" s="59"/>
      <c r="Q388" s="57"/>
      <c r="R388" s="57"/>
      <c r="S388" s="57"/>
      <c r="T388" s="57"/>
      <c r="U388" s="57"/>
    </row>
    <row r="389" spans="5:21" x14ac:dyDescent="0.25">
      <c r="E389" s="138"/>
      <c r="F389" s="138"/>
      <c r="I389" s="58"/>
      <c r="J389" s="58"/>
      <c r="K389" s="59"/>
      <c r="L389" s="59"/>
      <c r="O389" s="58"/>
      <c r="P389" s="59"/>
      <c r="Q389" s="57"/>
      <c r="R389" s="57"/>
      <c r="S389" s="57"/>
      <c r="T389" s="57"/>
      <c r="U389" s="57"/>
    </row>
    <row r="390" spans="5:21" x14ac:dyDescent="0.25">
      <c r="E390" s="138"/>
      <c r="F390" s="138"/>
      <c r="I390" s="58"/>
      <c r="J390" s="58"/>
      <c r="K390" s="59"/>
      <c r="L390" s="59"/>
      <c r="O390" s="58"/>
      <c r="P390" s="59"/>
      <c r="Q390" s="57"/>
      <c r="R390" s="57"/>
      <c r="S390" s="57"/>
      <c r="T390" s="57"/>
      <c r="U390" s="57"/>
    </row>
    <row r="391" spans="5:21" x14ac:dyDescent="0.25">
      <c r="E391" s="138"/>
      <c r="F391" s="138"/>
      <c r="I391" s="58"/>
      <c r="J391" s="58"/>
      <c r="K391" s="59"/>
      <c r="L391" s="59"/>
      <c r="O391" s="58"/>
      <c r="P391" s="59"/>
      <c r="Q391" s="57"/>
      <c r="R391" s="57"/>
      <c r="S391" s="57"/>
      <c r="T391" s="57"/>
      <c r="U391" s="57"/>
    </row>
    <row r="392" spans="5:21" x14ac:dyDescent="0.25">
      <c r="E392" s="138"/>
      <c r="F392" s="138"/>
      <c r="I392" s="58"/>
      <c r="J392" s="58"/>
      <c r="K392" s="59"/>
      <c r="L392" s="59"/>
      <c r="O392" s="58"/>
      <c r="P392" s="59"/>
      <c r="Q392" s="57"/>
      <c r="R392" s="57"/>
      <c r="S392" s="57"/>
      <c r="T392" s="57"/>
      <c r="U392" s="57"/>
    </row>
    <row r="393" spans="5:21" x14ac:dyDescent="0.25">
      <c r="E393" s="138"/>
      <c r="F393" s="138"/>
      <c r="I393" s="58"/>
      <c r="J393" s="58"/>
      <c r="K393" s="59"/>
      <c r="L393" s="59"/>
      <c r="O393" s="58"/>
      <c r="P393" s="59"/>
      <c r="Q393" s="57"/>
      <c r="R393" s="57"/>
      <c r="S393" s="57"/>
      <c r="T393" s="57"/>
      <c r="U393" s="57"/>
    </row>
    <row r="394" spans="5:21" x14ac:dyDescent="0.25">
      <c r="E394" s="138"/>
      <c r="F394" s="138"/>
      <c r="I394" s="58"/>
      <c r="J394" s="58"/>
      <c r="K394" s="59"/>
      <c r="L394" s="59"/>
      <c r="O394" s="58"/>
      <c r="P394" s="59"/>
      <c r="Q394" s="57"/>
      <c r="R394" s="57"/>
      <c r="S394" s="57"/>
      <c r="T394" s="57"/>
      <c r="U394" s="57"/>
    </row>
    <row r="395" spans="5:21" x14ac:dyDescent="0.25">
      <c r="E395" s="138"/>
      <c r="F395" s="138"/>
      <c r="I395" s="58"/>
      <c r="J395" s="58"/>
      <c r="K395" s="59"/>
      <c r="L395" s="59"/>
      <c r="O395" s="58"/>
      <c r="P395" s="59"/>
      <c r="Q395" s="57"/>
      <c r="R395" s="57"/>
      <c r="S395" s="57"/>
      <c r="T395" s="57"/>
      <c r="U395" s="57"/>
    </row>
    <row r="396" spans="5:21" x14ac:dyDescent="0.25">
      <c r="E396" s="138"/>
      <c r="F396" s="138"/>
      <c r="I396" s="58"/>
      <c r="J396" s="58"/>
      <c r="K396" s="59"/>
      <c r="L396" s="59"/>
      <c r="O396" s="58"/>
      <c r="P396" s="59"/>
      <c r="Q396" s="57"/>
      <c r="R396" s="57"/>
      <c r="S396" s="57"/>
      <c r="T396" s="57"/>
      <c r="U396" s="57"/>
    </row>
    <row r="397" spans="5:21" x14ac:dyDescent="0.25">
      <c r="E397" s="138"/>
      <c r="F397" s="138"/>
      <c r="I397" s="58"/>
      <c r="J397" s="58"/>
      <c r="K397" s="59"/>
      <c r="L397" s="59"/>
      <c r="O397" s="58"/>
      <c r="P397" s="59"/>
      <c r="Q397" s="57"/>
      <c r="R397" s="57"/>
      <c r="S397" s="57"/>
      <c r="T397" s="57"/>
      <c r="U397" s="57"/>
    </row>
    <row r="398" spans="5:21" x14ac:dyDescent="0.25">
      <c r="E398" s="138"/>
      <c r="F398" s="138"/>
      <c r="I398" s="58"/>
      <c r="J398" s="58"/>
      <c r="K398" s="59"/>
      <c r="L398" s="59"/>
      <c r="O398" s="58"/>
      <c r="P398" s="59"/>
      <c r="Q398" s="57"/>
      <c r="R398" s="57"/>
      <c r="S398" s="57"/>
      <c r="T398" s="57"/>
      <c r="U398" s="57"/>
    </row>
    <row r="399" spans="5:21" x14ac:dyDescent="0.25">
      <c r="E399" s="138"/>
      <c r="F399" s="138"/>
      <c r="I399" s="58"/>
      <c r="J399" s="58"/>
      <c r="K399" s="59"/>
      <c r="L399" s="59"/>
      <c r="O399" s="58"/>
      <c r="P399" s="59"/>
      <c r="Q399" s="57"/>
      <c r="R399" s="57"/>
      <c r="S399" s="57"/>
      <c r="T399" s="57"/>
      <c r="U399" s="57"/>
    </row>
    <row r="400" spans="5:21" x14ac:dyDescent="0.25">
      <c r="E400" s="138"/>
      <c r="F400" s="138"/>
      <c r="I400" s="58"/>
      <c r="J400" s="58"/>
      <c r="K400" s="59"/>
      <c r="L400" s="59"/>
      <c r="O400" s="58"/>
      <c r="P400" s="59"/>
      <c r="Q400" s="57"/>
      <c r="R400" s="57"/>
      <c r="S400" s="57"/>
      <c r="T400" s="57"/>
      <c r="U400" s="57"/>
    </row>
    <row r="401" spans="5:21" x14ac:dyDescent="0.25">
      <c r="E401" s="138"/>
      <c r="F401" s="138"/>
      <c r="I401" s="58"/>
      <c r="J401" s="58"/>
      <c r="K401" s="59"/>
      <c r="L401" s="59"/>
      <c r="O401" s="58"/>
      <c r="P401" s="59"/>
      <c r="Q401" s="57"/>
      <c r="R401" s="57"/>
      <c r="S401" s="57"/>
      <c r="T401" s="57"/>
      <c r="U401" s="57"/>
    </row>
    <row r="402" spans="5:21" x14ac:dyDescent="0.25">
      <c r="E402" s="138"/>
      <c r="F402" s="138"/>
      <c r="I402" s="58"/>
      <c r="J402" s="58"/>
      <c r="K402" s="59"/>
      <c r="L402" s="59"/>
      <c r="O402" s="58"/>
      <c r="P402" s="59"/>
      <c r="Q402" s="57"/>
      <c r="R402" s="57"/>
      <c r="S402" s="57"/>
      <c r="T402" s="57"/>
      <c r="U402" s="57"/>
    </row>
    <row r="403" spans="5:21" x14ac:dyDescent="0.25">
      <c r="E403" s="138"/>
      <c r="F403" s="138"/>
      <c r="I403" s="58"/>
      <c r="J403" s="58"/>
      <c r="K403" s="59"/>
      <c r="L403" s="59"/>
      <c r="O403" s="58"/>
      <c r="P403" s="59"/>
      <c r="Q403" s="57"/>
      <c r="R403" s="57"/>
      <c r="S403" s="57"/>
      <c r="T403" s="57"/>
      <c r="U403" s="57"/>
    </row>
    <row r="404" spans="5:21" x14ac:dyDescent="0.25">
      <c r="E404" s="138"/>
      <c r="F404" s="138"/>
      <c r="I404" s="58"/>
      <c r="J404" s="58"/>
      <c r="K404" s="59"/>
      <c r="L404" s="59"/>
      <c r="O404" s="58"/>
      <c r="P404" s="59"/>
      <c r="Q404" s="57"/>
      <c r="R404" s="57"/>
      <c r="S404" s="57"/>
      <c r="T404" s="57"/>
      <c r="U404" s="57"/>
    </row>
    <row r="405" spans="5:21" x14ac:dyDescent="0.25">
      <c r="E405" s="138"/>
      <c r="F405" s="138"/>
      <c r="I405" s="58"/>
      <c r="J405" s="58"/>
      <c r="K405" s="59"/>
      <c r="L405" s="59"/>
      <c r="O405" s="58"/>
      <c r="P405" s="59"/>
      <c r="Q405" s="57"/>
      <c r="R405" s="57"/>
      <c r="S405" s="57"/>
      <c r="T405" s="57"/>
      <c r="U405" s="57"/>
    </row>
    <row r="406" spans="5:21" x14ac:dyDescent="0.25">
      <c r="E406" s="138"/>
      <c r="F406" s="138"/>
      <c r="I406" s="58"/>
      <c r="J406" s="58"/>
      <c r="K406" s="59"/>
      <c r="L406" s="59"/>
      <c r="O406" s="58"/>
      <c r="P406" s="59"/>
      <c r="Q406" s="57"/>
      <c r="R406" s="57"/>
      <c r="S406" s="57"/>
      <c r="T406" s="57"/>
      <c r="U406" s="57"/>
    </row>
    <row r="407" spans="5:21" x14ac:dyDescent="0.25">
      <c r="E407" s="138"/>
      <c r="F407" s="138"/>
      <c r="I407" s="58"/>
      <c r="J407" s="58"/>
      <c r="K407" s="59"/>
      <c r="L407" s="59"/>
      <c r="O407" s="58"/>
      <c r="P407" s="59"/>
      <c r="Q407" s="57"/>
      <c r="R407" s="57"/>
      <c r="S407" s="57"/>
      <c r="T407" s="57"/>
      <c r="U407" s="57"/>
    </row>
    <row r="408" spans="5:21" x14ac:dyDescent="0.25">
      <c r="E408" s="138"/>
      <c r="F408" s="138"/>
      <c r="I408" s="58"/>
      <c r="J408" s="58"/>
      <c r="K408" s="59"/>
      <c r="L408" s="59"/>
      <c r="O408" s="58"/>
      <c r="P408" s="59"/>
      <c r="Q408" s="57"/>
      <c r="R408" s="57"/>
      <c r="S408" s="57"/>
      <c r="T408" s="57"/>
      <c r="U408" s="57"/>
    </row>
    <row r="409" spans="5:21" x14ac:dyDescent="0.25">
      <c r="E409" s="138"/>
      <c r="F409" s="138"/>
      <c r="I409" s="58"/>
      <c r="J409" s="58"/>
      <c r="K409" s="59"/>
      <c r="L409" s="59"/>
      <c r="O409" s="58"/>
      <c r="P409" s="59"/>
      <c r="Q409" s="57"/>
      <c r="R409" s="57"/>
      <c r="S409" s="57"/>
      <c r="T409" s="57"/>
      <c r="U409" s="57"/>
    </row>
    <row r="410" spans="5:21" x14ac:dyDescent="0.25">
      <c r="E410" s="138"/>
      <c r="F410" s="138"/>
      <c r="I410" s="58"/>
      <c r="J410" s="58"/>
      <c r="K410" s="59"/>
      <c r="L410" s="59"/>
      <c r="O410" s="58"/>
      <c r="P410" s="59"/>
      <c r="Q410" s="57"/>
      <c r="R410" s="57"/>
      <c r="S410" s="57"/>
      <c r="T410" s="57"/>
      <c r="U410" s="57"/>
    </row>
    <row r="411" spans="5:21" x14ac:dyDescent="0.25">
      <c r="E411" s="138"/>
      <c r="F411" s="138"/>
      <c r="I411" s="58"/>
      <c r="J411" s="58"/>
      <c r="K411" s="59"/>
      <c r="L411" s="59"/>
      <c r="O411" s="58"/>
      <c r="P411" s="59"/>
      <c r="Q411" s="57"/>
      <c r="R411" s="57"/>
      <c r="S411" s="57"/>
      <c r="T411" s="57"/>
      <c r="U411" s="57"/>
    </row>
    <row r="412" spans="5:21" x14ac:dyDescent="0.25">
      <c r="E412" s="138"/>
      <c r="F412" s="138"/>
      <c r="I412" s="58"/>
      <c r="J412" s="58"/>
      <c r="K412" s="59"/>
      <c r="L412" s="59"/>
      <c r="O412" s="58"/>
      <c r="P412" s="59"/>
      <c r="Q412" s="57"/>
      <c r="R412" s="57"/>
      <c r="S412" s="57"/>
      <c r="T412" s="57"/>
      <c r="U412" s="57"/>
    </row>
    <row r="413" spans="5:21" x14ac:dyDescent="0.25">
      <c r="E413" s="138"/>
      <c r="F413" s="138"/>
      <c r="I413" s="58"/>
      <c r="J413" s="58"/>
      <c r="K413" s="59"/>
      <c r="L413" s="59"/>
      <c r="O413" s="58"/>
      <c r="P413" s="59"/>
      <c r="Q413" s="57"/>
      <c r="R413" s="57"/>
      <c r="S413" s="57"/>
      <c r="T413" s="57"/>
      <c r="U413" s="57"/>
    </row>
    <row r="414" spans="5:21" x14ac:dyDescent="0.25">
      <c r="E414" s="138"/>
      <c r="F414" s="138"/>
      <c r="I414" s="58"/>
      <c r="J414" s="58"/>
      <c r="K414" s="59"/>
      <c r="L414" s="59"/>
      <c r="O414" s="58"/>
      <c r="P414" s="59"/>
      <c r="Q414" s="57"/>
      <c r="R414" s="57"/>
      <c r="S414" s="57"/>
      <c r="T414" s="57"/>
      <c r="U414" s="57"/>
    </row>
    <row r="415" spans="5:21" x14ac:dyDescent="0.25">
      <c r="E415" s="138"/>
      <c r="F415" s="138"/>
      <c r="I415" s="58"/>
      <c r="J415" s="58"/>
      <c r="K415" s="59"/>
      <c r="L415" s="59"/>
      <c r="O415" s="58"/>
      <c r="P415" s="59"/>
      <c r="Q415" s="57"/>
      <c r="R415" s="57"/>
      <c r="S415" s="57"/>
      <c r="T415" s="57"/>
      <c r="U415" s="57"/>
    </row>
    <row r="416" spans="5:21" x14ac:dyDescent="0.25">
      <c r="E416" s="138"/>
      <c r="F416" s="138"/>
      <c r="I416" s="58"/>
      <c r="J416" s="58"/>
      <c r="K416" s="59"/>
      <c r="L416" s="59"/>
      <c r="O416" s="58"/>
      <c r="P416" s="59"/>
      <c r="Q416" s="57"/>
      <c r="R416" s="57"/>
      <c r="S416" s="57"/>
      <c r="T416" s="57"/>
      <c r="U416" s="57"/>
    </row>
    <row r="417" spans="5:21" x14ac:dyDescent="0.25">
      <c r="E417" s="138"/>
      <c r="F417" s="138"/>
      <c r="I417" s="58"/>
      <c r="J417" s="58"/>
      <c r="K417" s="59"/>
      <c r="L417" s="59"/>
      <c r="O417" s="58"/>
      <c r="P417" s="59"/>
      <c r="Q417" s="57"/>
      <c r="R417" s="57"/>
      <c r="S417" s="57"/>
      <c r="T417" s="57"/>
      <c r="U417" s="57"/>
    </row>
    <row r="418" spans="5:21" x14ac:dyDescent="0.25">
      <c r="E418" s="138"/>
      <c r="F418" s="138"/>
      <c r="I418" s="58"/>
      <c r="J418" s="58"/>
      <c r="K418" s="59"/>
      <c r="L418" s="59"/>
      <c r="O418" s="58"/>
      <c r="P418" s="59"/>
      <c r="Q418" s="57"/>
      <c r="R418" s="57"/>
      <c r="S418" s="57"/>
      <c r="T418" s="57"/>
      <c r="U418" s="57"/>
    </row>
    <row r="419" spans="5:21" x14ac:dyDescent="0.25">
      <c r="E419" s="138"/>
      <c r="F419" s="138"/>
      <c r="I419" s="58"/>
      <c r="J419" s="58"/>
      <c r="K419" s="59"/>
      <c r="L419" s="59"/>
      <c r="O419" s="58"/>
      <c r="P419" s="59"/>
      <c r="Q419" s="57"/>
      <c r="R419" s="57"/>
      <c r="S419" s="57"/>
      <c r="T419" s="57"/>
      <c r="U419" s="57"/>
    </row>
    <row r="420" spans="5:21" x14ac:dyDescent="0.25">
      <c r="E420" s="138"/>
      <c r="F420" s="138"/>
      <c r="I420" s="58"/>
      <c r="J420" s="58"/>
      <c r="K420" s="59"/>
      <c r="L420" s="59"/>
      <c r="O420" s="58"/>
      <c r="P420" s="59"/>
      <c r="Q420" s="57"/>
      <c r="R420" s="57"/>
      <c r="S420" s="57"/>
      <c r="T420" s="57"/>
      <c r="U420" s="57"/>
    </row>
    <row r="421" spans="5:21" x14ac:dyDescent="0.25">
      <c r="E421" s="138"/>
      <c r="F421" s="138"/>
      <c r="I421" s="58"/>
      <c r="J421" s="58"/>
      <c r="K421" s="59"/>
      <c r="L421" s="59"/>
      <c r="O421" s="58"/>
      <c r="P421" s="59"/>
      <c r="Q421" s="57"/>
      <c r="R421" s="57"/>
      <c r="S421" s="57"/>
      <c r="T421" s="57"/>
      <c r="U421" s="57"/>
    </row>
    <row r="422" spans="5:21" x14ac:dyDescent="0.25">
      <c r="E422" s="138"/>
      <c r="F422" s="138"/>
      <c r="I422" s="58"/>
      <c r="J422" s="58"/>
      <c r="K422" s="59"/>
      <c r="L422" s="59"/>
      <c r="O422" s="58"/>
      <c r="P422" s="59"/>
      <c r="Q422" s="57"/>
      <c r="R422" s="57"/>
      <c r="S422" s="57"/>
      <c r="T422" s="57"/>
      <c r="U422" s="57"/>
    </row>
    <row r="423" spans="5:21" x14ac:dyDescent="0.25">
      <c r="E423" s="138"/>
      <c r="F423" s="138"/>
      <c r="I423" s="58"/>
      <c r="J423" s="58"/>
      <c r="K423" s="59"/>
      <c r="L423" s="59"/>
      <c r="O423" s="58"/>
      <c r="P423" s="59"/>
      <c r="Q423" s="57"/>
      <c r="R423" s="57"/>
      <c r="S423" s="57"/>
      <c r="T423" s="57"/>
      <c r="U423" s="57"/>
    </row>
    <row r="424" spans="5:21" x14ac:dyDescent="0.25">
      <c r="E424" s="138"/>
      <c r="F424" s="138"/>
      <c r="I424" s="58"/>
      <c r="J424" s="58"/>
      <c r="K424" s="59"/>
      <c r="L424" s="59"/>
      <c r="O424" s="58"/>
      <c r="P424" s="59"/>
      <c r="Q424" s="57"/>
      <c r="R424" s="57"/>
      <c r="S424" s="57"/>
      <c r="T424" s="57"/>
      <c r="U424" s="57"/>
    </row>
    <row r="425" spans="5:21" x14ac:dyDescent="0.25">
      <c r="E425" s="138"/>
      <c r="F425" s="138"/>
      <c r="I425" s="58"/>
      <c r="J425" s="58"/>
      <c r="K425" s="59"/>
      <c r="L425" s="59"/>
      <c r="O425" s="58"/>
      <c r="P425" s="59"/>
      <c r="Q425" s="57"/>
      <c r="R425" s="57"/>
      <c r="S425" s="57"/>
      <c r="T425" s="57"/>
      <c r="U425" s="57"/>
    </row>
    <row r="426" spans="5:21" x14ac:dyDescent="0.25">
      <c r="E426" s="138"/>
      <c r="F426" s="138"/>
      <c r="I426" s="58"/>
      <c r="J426" s="58"/>
      <c r="K426" s="59"/>
      <c r="L426" s="59"/>
      <c r="O426" s="58"/>
      <c r="P426" s="59"/>
      <c r="Q426" s="57"/>
      <c r="R426" s="57"/>
      <c r="S426" s="57"/>
      <c r="T426" s="57"/>
      <c r="U426" s="57"/>
    </row>
    <row r="427" spans="5:21" x14ac:dyDescent="0.25">
      <c r="E427" s="138"/>
      <c r="F427" s="138"/>
      <c r="I427" s="58"/>
      <c r="J427" s="58"/>
      <c r="K427" s="59"/>
      <c r="L427" s="59"/>
      <c r="O427" s="58"/>
      <c r="P427" s="59"/>
      <c r="Q427" s="57"/>
      <c r="R427" s="57"/>
      <c r="S427" s="57"/>
      <c r="T427" s="57"/>
      <c r="U427" s="57"/>
    </row>
    <row r="428" spans="5:21" x14ac:dyDescent="0.25">
      <c r="E428" s="138"/>
      <c r="F428" s="138"/>
      <c r="I428" s="58"/>
      <c r="J428" s="58"/>
      <c r="K428" s="59"/>
      <c r="L428" s="59"/>
      <c r="O428" s="58"/>
      <c r="P428" s="59"/>
      <c r="Q428" s="57"/>
      <c r="R428" s="57"/>
      <c r="S428" s="57"/>
      <c r="T428" s="57"/>
      <c r="U428" s="57"/>
    </row>
    <row r="429" spans="5:21" x14ac:dyDescent="0.25">
      <c r="E429" s="138"/>
      <c r="F429" s="138"/>
      <c r="I429" s="58"/>
      <c r="J429" s="58"/>
      <c r="K429" s="59"/>
      <c r="L429" s="59"/>
      <c r="O429" s="58"/>
      <c r="P429" s="59"/>
      <c r="Q429" s="57"/>
      <c r="R429" s="57"/>
      <c r="S429" s="57"/>
      <c r="T429" s="57"/>
      <c r="U429" s="57"/>
    </row>
    <row r="430" spans="5:21" x14ac:dyDescent="0.25">
      <c r="E430" s="138"/>
      <c r="F430" s="138"/>
      <c r="I430" s="58"/>
      <c r="J430" s="58"/>
      <c r="K430" s="59"/>
      <c r="L430" s="59"/>
      <c r="O430" s="58"/>
      <c r="P430" s="59"/>
      <c r="Q430" s="57"/>
      <c r="R430" s="57"/>
      <c r="S430" s="57"/>
      <c r="T430" s="57"/>
      <c r="U430" s="57"/>
    </row>
    <row r="431" spans="5:21" x14ac:dyDescent="0.25">
      <c r="E431" s="138"/>
      <c r="F431" s="138"/>
      <c r="I431" s="58"/>
      <c r="J431" s="58"/>
      <c r="K431" s="59"/>
      <c r="L431" s="59"/>
      <c r="O431" s="58"/>
      <c r="P431" s="59"/>
      <c r="Q431" s="57"/>
      <c r="R431" s="57"/>
      <c r="S431" s="57"/>
      <c r="T431" s="57"/>
      <c r="U431" s="57"/>
    </row>
    <row r="432" spans="5:21" x14ac:dyDescent="0.25">
      <c r="E432" s="138"/>
      <c r="F432" s="138"/>
      <c r="I432" s="58"/>
      <c r="J432" s="58"/>
      <c r="K432" s="59"/>
      <c r="L432" s="59"/>
      <c r="O432" s="58"/>
      <c r="P432" s="59"/>
      <c r="Q432" s="57"/>
      <c r="R432" s="57"/>
      <c r="S432" s="57"/>
      <c r="T432" s="57"/>
      <c r="U432" s="57"/>
    </row>
    <row r="433" spans="5:21" x14ac:dyDescent="0.25">
      <c r="E433" s="138"/>
      <c r="F433" s="138"/>
      <c r="I433" s="58"/>
      <c r="J433" s="58"/>
      <c r="K433" s="59"/>
      <c r="L433" s="59"/>
      <c r="O433" s="58"/>
      <c r="P433" s="59"/>
      <c r="Q433" s="57"/>
      <c r="R433" s="57"/>
      <c r="S433" s="57"/>
      <c r="T433" s="57"/>
      <c r="U433" s="57"/>
    </row>
    <row r="434" spans="5:21" x14ac:dyDescent="0.25">
      <c r="E434" s="138"/>
      <c r="F434" s="138"/>
      <c r="I434" s="58"/>
      <c r="J434" s="58"/>
      <c r="K434" s="59"/>
      <c r="L434" s="59"/>
      <c r="O434" s="58"/>
      <c r="P434" s="59"/>
      <c r="Q434" s="57"/>
      <c r="R434" s="57"/>
      <c r="S434" s="57"/>
      <c r="T434" s="57"/>
      <c r="U434" s="57"/>
    </row>
    <row r="435" spans="5:21" x14ac:dyDescent="0.25">
      <c r="E435" s="138"/>
      <c r="F435" s="138"/>
      <c r="I435" s="58"/>
      <c r="J435" s="58"/>
      <c r="K435" s="59"/>
      <c r="L435" s="59"/>
      <c r="O435" s="58"/>
      <c r="P435" s="59"/>
      <c r="Q435" s="57"/>
      <c r="R435" s="57"/>
      <c r="S435" s="57"/>
      <c r="T435" s="57"/>
      <c r="U435" s="57"/>
    </row>
    <row r="436" spans="5:21" x14ac:dyDescent="0.25">
      <c r="E436" s="138"/>
      <c r="F436" s="138"/>
      <c r="I436" s="58"/>
      <c r="J436" s="58"/>
      <c r="K436" s="59"/>
      <c r="L436" s="59"/>
      <c r="O436" s="58"/>
      <c r="P436" s="59"/>
      <c r="Q436" s="57"/>
      <c r="R436" s="57"/>
      <c r="S436" s="57"/>
      <c r="T436" s="57"/>
      <c r="U436" s="57"/>
    </row>
    <row r="437" spans="5:21" x14ac:dyDescent="0.25">
      <c r="E437" s="138"/>
      <c r="F437" s="138"/>
      <c r="I437" s="58"/>
      <c r="J437" s="58"/>
      <c r="K437" s="59"/>
      <c r="L437" s="59"/>
      <c r="O437" s="58"/>
      <c r="P437" s="59"/>
      <c r="Q437" s="57"/>
      <c r="R437" s="57"/>
      <c r="S437" s="57"/>
      <c r="T437" s="57"/>
      <c r="U437" s="57"/>
    </row>
    <row r="438" spans="5:21" x14ac:dyDescent="0.25">
      <c r="E438" s="138"/>
      <c r="F438" s="138"/>
      <c r="I438" s="58"/>
      <c r="J438" s="58"/>
      <c r="K438" s="59"/>
      <c r="L438" s="59"/>
      <c r="O438" s="58"/>
      <c r="P438" s="59"/>
      <c r="Q438" s="57"/>
      <c r="R438" s="57"/>
      <c r="S438" s="57"/>
      <c r="T438" s="57"/>
      <c r="U438" s="57"/>
    </row>
    <row r="439" spans="5:21" x14ac:dyDescent="0.25">
      <c r="E439" s="138"/>
      <c r="F439" s="138"/>
      <c r="I439" s="58"/>
      <c r="J439" s="58"/>
      <c r="K439" s="59"/>
      <c r="L439" s="59"/>
      <c r="O439" s="58"/>
      <c r="P439" s="59"/>
      <c r="Q439" s="57"/>
      <c r="R439" s="57"/>
      <c r="S439" s="57"/>
      <c r="T439" s="57"/>
      <c r="U439" s="57"/>
    </row>
    <row r="440" spans="5:21" x14ac:dyDescent="0.25">
      <c r="E440" s="138"/>
      <c r="F440" s="138"/>
      <c r="I440" s="58"/>
      <c r="J440" s="58"/>
      <c r="K440" s="59"/>
      <c r="L440" s="59"/>
      <c r="O440" s="58"/>
      <c r="P440" s="59"/>
      <c r="Q440" s="57"/>
      <c r="R440" s="57"/>
      <c r="S440" s="57"/>
      <c r="T440" s="57"/>
      <c r="U440" s="57"/>
    </row>
    <row r="441" spans="5:21" x14ac:dyDescent="0.25">
      <c r="E441" s="138"/>
      <c r="F441" s="138"/>
      <c r="I441" s="58"/>
      <c r="J441" s="58"/>
      <c r="K441" s="59"/>
      <c r="L441" s="59"/>
      <c r="O441" s="58"/>
      <c r="P441" s="59"/>
      <c r="Q441" s="57"/>
      <c r="R441" s="57"/>
      <c r="S441" s="57"/>
      <c r="T441" s="57"/>
      <c r="U441" s="57"/>
    </row>
    <row r="442" spans="5:21" x14ac:dyDescent="0.25">
      <c r="E442" s="138"/>
      <c r="F442" s="138"/>
      <c r="I442" s="58"/>
      <c r="J442" s="58"/>
      <c r="K442" s="59"/>
      <c r="L442" s="59"/>
      <c r="O442" s="58"/>
      <c r="P442" s="59"/>
      <c r="Q442" s="57"/>
      <c r="R442" s="57"/>
      <c r="S442" s="57"/>
      <c r="T442" s="57"/>
      <c r="U442" s="57"/>
    </row>
    <row r="443" spans="5:21" x14ac:dyDescent="0.25">
      <c r="E443" s="138"/>
      <c r="F443" s="138"/>
      <c r="I443" s="58"/>
      <c r="J443" s="58"/>
      <c r="K443" s="59"/>
      <c r="L443" s="59"/>
      <c r="O443" s="58"/>
      <c r="P443" s="59"/>
      <c r="Q443" s="57"/>
      <c r="R443" s="57"/>
      <c r="S443" s="57"/>
      <c r="T443" s="57"/>
      <c r="U443" s="57"/>
    </row>
    <row r="444" spans="5:21" x14ac:dyDescent="0.25">
      <c r="E444" s="138"/>
      <c r="F444" s="138"/>
      <c r="I444" s="58"/>
      <c r="J444" s="58"/>
      <c r="K444" s="59"/>
      <c r="L444" s="59"/>
      <c r="O444" s="58"/>
      <c r="P444" s="59"/>
      <c r="Q444" s="57"/>
      <c r="R444" s="57"/>
      <c r="S444" s="57"/>
      <c r="T444" s="57"/>
      <c r="U444" s="57"/>
    </row>
    <row r="445" spans="5:21" x14ac:dyDescent="0.25">
      <c r="E445" s="138"/>
      <c r="F445" s="138"/>
      <c r="I445" s="58"/>
      <c r="J445" s="58"/>
      <c r="K445" s="59"/>
      <c r="L445" s="59"/>
      <c r="O445" s="58"/>
      <c r="P445" s="59"/>
      <c r="Q445" s="57"/>
      <c r="R445" s="57"/>
      <c r="S445" s="57"/>
      <c r="T445" s="57"/>
      <c r="U445" s="57"/>
    </row>
    <row r="446" spans="5:21" x14ac:dyDescent="0.25">
      <c r="E446" s="138"/>
      <c r="F446" s="138"/>
      <c r="I446" s="58"/>
      <c r="J446" s="58"/>
      <c r="K446" s="59"/>
      <c r="L446" s="59"/>
      <c r="O446" s="58"/>
      <c r="P446" s="59"/>
      <c r="Q446" s="57"/>
      <c r="R446" s="57"/>
      <c r="S446" s="57"/>
      <c r="T446" s="57"/>
      <c r="U446" s="57"/>
    </row>
    <row r="447" spans="5:21" x14ac:dyDescent="0.25">
      <c r="E447" s="138"/>
      <c r="F447" s="138"/>
      <c r="I447" s="58"/>
      <c r="J447" s="58"/>
      <c r="K447" s="59"/>
      <c r="L447" s="59"/>
      <c r="O447" s="58"/>
      <c r="P447" s="59"/>
      <c r="Q447" s="57"/>
      <c r="R447" s="57"/>
      <c r="S447" s="57"/>
      <c r="T447" s="57"/>
      <c r="U447" s="57"/>
    </row>
    <row r="448" spans="5:21" x14ac:dyDescent="0.25">
      <c r="E448" s="138"/>
      <c r="F448" s="138"/>
      <c r="I448" s="58"/>
      <c r="J448" s="58"/>
      <c r="K448" s="59"/>
      <c r="L448" s="59"/>
      <c r="O448" s="58"/>
      <c r="P448" s="59"/>
      <c r="Q448" s="57"/>
      <c r="R448" s="57"/>
      <c r="S448" s="57"/>
      <c r="T448" s="57"/>
      <c r="U448" s="57"/>
    </row>
    <row r="449" spans="5:21" x14ac:dyDescent="0.25">
      <c r="E449" s="138"/>
      <c r="F449" s="138"/>
      <c r="I449" s="58"/>
      <c r="J449" s="58"/>
      <c r="K449" s="59"/>
      <c r="L449" s="59"/>
      <c r="O449" s="58"/>
      <c r="P449" s="59"/>
      <c r="Q449" s="57"/>
      <c r="R449" s="57"/>
      <c r="S449" s="57"/>
      <c r="T449" s="57"/>
      <c r="U449" s="57"/>
    </row>
    <row r="450" spans="5:21" x14ac:dyDescent="0.25">
      <c r="E450" s="138"/>
      <c r="F450" s="138"/>
      <c r="I450" s="58"/>
      <c r="J450" s="58"/>
      <c r="K450" s="59"/>
      <c r="L450" s="59"/>
      <c r="O450" s="58"/>
      <c r="P450" s="59"/>
      <c r="Q450" s="57"/>
      <c r="R450" s="57"/>
      <c r="S450" s="57"/>
      <c r="T450" s="57"/>
      <c r="U450" s="57"/>
    </row>
    <row r="451" spans="5:21" x14ac:dyDescent="0.25">
      <c r="E451" s="138"/>
      <c r="F451" s="138"/>
      <c r="I451" s="58"/>
      <c r="J451" s="58"/>
      <c r="K451" s="59"/>
      <c r="L451" s="59"/>
      <c r="O451" s="58"/>
      <c r="P451" s="59"/>
      <c r="Q451" s="57"/>
      <c r="R451" s="57"/>
      <c r="S451" s="57"/>
      <c r="T451" s="57"/>
      <c r="U451" s="57"/>
    </row>
    <row r="452" spans="5:21" x14ac:dyDescent="0.25">
      <c r="E452" s="138"/>
      <c r="F452" s="138"/>
      <c r="I452" s="58"/>
      <c r="J452" s="58"/>
      <c r="K452" s="59"/>
      <c r="L452" s="59"/>
      <c r="O452" s="58"/>
      <c r="P452" s="59"/>
      <c r="Q452" s="57"/>
      <c r="R452" s="57"/>
      <c r="S452" s="57"/>
      <c r="T452" s="57"/>
      <c r="U452" s="57"/>
    </row>
    <row r="453" spans="5:21" x14ac:dyDescent="0.25">
      <c r="E453" s="138"/>
      <c r="F453" s="138"/>
      <c r="I453" s="58"/>
      <c r="J453" s="58"/>
      <c r="K453" s="59"/>
      <c r="L453" s="59"/>
      <c r="O453" s="58"/>
      <c r="P453" s="59"/>
      <c r="Q453" s="57"/>
      <c r="R453" s="57"/>
      <c r="S453" s="57"/>
      <c r="T453" s="57"/>
      <c r="U453" s="57"/>
    </row>
    <row r="454" spans="5:21" x14ac:dyDescent="0.25">
      <c r="E454" s="138"/>
      <c r="F454" s="138"/>
      <c r="I454" s="58"/>
      <c r="J454" s="58"/>
      <c r="K454" s="59"/>
      <c r="L454" s="59"/>
      <c r="O454" s="58"/>
      <c r="P454" s="59"/>
      <c r="Q454" s="57"/>
      <c r="R454" s="57"/>
      <c r="S454" s="57"/>
      <c r="T454" s="57"/>
      <c r="U454" s="57"/>
    </row>
    <row r="455" spans="5:21" x14ac:dyDescent="0.25">
      <c r="E455" s="138"/>
      <c r="F455" s="138"/>
      <c r="I455" s="58"/>
      <c r="J455" s="58"/>
      <c r="K455" s="59"/>
      <c r="L455" s="59"/>
      <c r="O455" s="58"/>
      <c r="P455" s="59"/>
      <c r="Q455" s="57"/>
      <c r="R455" s="57"/>
      <c r="S455" s="57"/>
      <c r="T455" s="57"/>
      <c r="U455" s="57"/>
    </row>
    <row r="456" spans="5:21" x14ac:dyDescent="0.25">
      <c r="E456" s="138"/>
      <c r="F456" s="138"/>
      <c r="I456" s="58"/>
      <c r="J456" s="58"/>
      <c r="K456" s="59"/>
      <c r="L456" s="59"/>
      <c r="O456" s="58"/>
      <c r="P456" s="59"/>
      <c r="Q456" s="57"/>
      <c r="R456" s="57"/>
      <c r="S456" s="57"/>
      <c r="T456" s="57"/>
      <c r="U456" s="57"/>
    </row>
    <row r="457" spans="5:21" x14ac:dyDescent="0.25">
      <c r="E457" s="138"/>
      <c r="F457" s="138"/>
      <c r="I457" s="58"/>
      <c r="J457" s="58"/>
      <c r="K457" s="59"/>
      <c r="L457" s="59"/>
      <c r="O457" s="58"/>
      <c r="P457" s="59"/>
      <c r="Q457" s="57"/>
      <c r="R457" s="57"/>
      <c r="S457" s="57"/>
      <c r="T457" s="57"/>
      <c r="U457" s="57"/>
    </row>
    <row r="458" spans="5:21" x14ac:dyDescent="0.25">
      <c r="E458" s="138"/>
      <c r="F458" s="138"/>
      <c r="I458" s="58"/>
      <c r="J458" s="58"/>
      <c r="K458" s="59"/>
      <c r="L458" s="59"/>
      <c r="O458" s="58"/>
      <c r="P458" s="59"/>
      <c r="Q458" s="57"/>
      <c r="R458" s="57"/>
      <c r="S458" s="57"/>
      <c r="T458" s="57"/>
      <c r="U458" s="57"/>
    </row>
    <row r="459" spans="5:21" x14ac:dyDescent="0.25">
      <c r="E459" s="138"/>
      <c r="F459" s="138"/>
      <c r="I459" s="58"/>
      <c r="J459" s="58"/>
      <c r="K459" s="59"/>
      <c r="L459" s="59"/>
      <c r="O459" s="58"/>
      <c r="P459" s="59"/>
      <c r="Q459" s="57"/>
      <c r="R459" s="57"/>
      <c r="S459" s="57"/>
      <c r="T459" s="57"/>
      <c r="U459" s="57"/>
    </row>
    <row r="460" spans="5:21" x14ac:dyDescent="0.25">
      <c r="E460" s="138"/>
      <c r="F460" s="138"/>
      <c r="I460" s="58"/>
      <c r="J460" s="58"/>
      <c r="K460" s="59"/>
      <c r="L460" s="59"/>
      <c r="O460" s="58"/>
      <c r="P460" s="59"/>
      <c r="Q460" s="57"/>
      <c r="R460" s="57"/>
      <c r="S460" s="57"/>
      <c r="T460" s="57"/>
      <c r="U460" s="57"/>
    </row>
    <row r="461" spans="5:21" x14ac:dyDescent="0.25">
      <c r="E461" s="138"/>
      <c r="F461" s="138"/>
      <c r="I461" s="58"/>
      <c r="J461" s="58"/>
      <c r="K461" s="59"/>
      <c r="L461" s="59"/>
      <c r="O461" s="58"/>
      <c r="P461" s="59"/>
      <c r="Q461" s="57"/>
      <c r="R461" s="57"/>
      <c r="S461" s="57"/>
      <c r="T461" s="57"/>
      <c r="U461" s="57"/>
    </row>
    <row r="462" spans="5:21" x14ac:dyDescent="0.25">
      <c r="E462" s="138"/>
      <c r="F462" s="138"/>
      <c r="I462" s="58"/>
      <c r="J462" s="58"/>
      <c r="K462" s="59"/>
      <c r="L462" s="59"/>
      <c r="O462" s="58"/>
      <c r="P462" s="59"/>
      <c r="Q462" s="57"/>
      <c r="R462" s="57"/>
      <c r="S462" s="57"/>
      <c r="T462" s="57"/>
      <c r="U462" s="57"/>
    </row>
    <row r="463" spans="5:21" x14ac:dyDescent="0.25">
      <c r="E463" s="138"/>
      <c r="F463" s="138"/>
      <c r="I463" s="58"/>
      <c r="J463" s="58"/>
      <c r="K463" s="59"/>
      <c r="L463" s="59"/>
      <c r="O463" s="58"/>
      <c r="P463" s="59"/>
      <c r="Q463" s="57"/>
      <c r="R463" s="57"/>
      <c r="S463" s="57"/>
      <c r="T463" s="57"/>
      <c r="U463" s="57"/>
    </row>
    <row r="464" spans="5:21" x14ac:dyDescent="0.25">
      <c r="E464" s="138"/>
      <c r="F464" s="138"/>
      <c r="I464" s="58"/>
      <c r="J464" s="58"/>
      <c r="K464" s="59"/>
      <c r="L464" s="59"/>
      <c r="O464" s="58"/>
      <c r="P464" s="59"/>
      <c r="Q464" s="57"/>
      <c r="R464" s="57"/>
      <c r="S464" s="57"/>
      <c r="T464" s="57"/>
      <c r="U464" s="57"/>
    </row>
    <row r="465" spans="5:21" x14ac:dyDescent="0.25">
      <c r="E465" s="138"/>
      <c r="F465" s="138"/>
      <c r="I465" s="58"/>
      <c r="J465" s="58"/>
      <c r="K465" s="59"/>
      <c r="L465" s="59"/>
      <c r="O465" s="58"/>
      <c r="P465" s="59"/>
      <c r="Q465" s="57"/>
      <c r="R465" s="57"/>
      <c r="S465" s="57"/>
      <c r="T465" s="57"/>
      <c r="U465" s="57"/>
    </row>
    <row r="466" spans="5:21" x14ac:dyDescent="0.25">
      <c r="E466" s="138"/>
      <c r="F466" s="138"/>
      <c r="I466" s="58"/>
      <c r="J466" s="58"/>
      <c r="K466" s="59"/>
      <c r="L466" s="59"/>
      <c r="O466" s="58"/>
      <c r="P466" s="59"/>
      <c r="Q466" s="57"/>
      <c r="R466" s="57"/>
      <c r="S466" s="57"/>
      <c r="T466" s="57"/>
      <c r="U466" s="57"/>
    </row>
    <row r="467" spans="5:21" x14ac:dyDescent="0.25">
      <c r="E467" s="138"/>
      <c r="F467" s="138"/>
      <c r="I467" s="58"/>
      <c r="J467" s="58"/>
      <c r="K467" s="59"/>
      <c r="L467" s="59"/>
      <c r="O467" s="58"/>
      <c r="P467" s="59"/>
      <c r="Q467" s="57"/>
      <c r="R467" s="57"/>
      <c r="S467" s="57"/>
      <c r="T467" s="57"/>
      <c r="U467" s="57"/>
    </row>
    <row r="468" spans="5:21" x14ac:dyDescent="0.25">
      <c r="E468" s="138"/>
      <c r="F468" s="138"/>
      <c r="I468" s="58"/>
      <c r="J468" s="58"/>
      <c r="K468" s="59"/>
      <c r="L468" s="59"/>
      <c r="O468" s="58"/>
      <c r="P468" s="59"/>
      <c r="Q468" s="57"/>
      <c r="R468" s="57"/>
      <c r="S468" s="57"/>
      <c r="T468" s="57"/>
      <c r="U468" s="57"/>
    </row>
    <row r="469" spans="5:21" x14ac:dyDescent="0.25">
      <c r="E469" s="138"/>
      <c r="F469" s="138"/>
      <c r="I469" s="58"/>
      <c r="J469" s="58"/>
      <c r="K469" s="59"/>
      <c r="L469" s="59"/>
      <c r="O469" s="58"/>
      <c r="P469" s="59"/>
      <c r="Q469" s="57"/>
      <c r="R469" s="57"/>
      <c r="S469" s="57"/>
      <c r="T469" s="57"/>
      <c r="U469" s="57"/>
    </row>
    <row r="470" spans="5:21" x14ac:dyDescent="0.25">
      <c r="E470" s="138"/>
      <c r="F470" s="138"/>
      <c r="I470" s="58"/>
      <c r="J470" s="58"/>
      <c r="K470" s="59"/>
      <c r="L470" s="59"/>
      <c r="O470" s="58"/>
      <c r="P470" s="59"/>
      <c r="Q470" s="57"/>
      <c r="R470" s="57"/>
      <c r="S470" s="57"/>
      <c r="T470" s="57"/>
      <c r="U470" s="57"/>
    </row>
    <row r="471" spans="5:21" x14ac:dyDescent="0.25">
      <c r="E471" s="138"/>
      <c r="F471" s="138"/>
      <c r="I471" s="58"/>
      <c r="J471" s="58"/>
      <c r="K471" s="59"/>
      <c r="L471" s="59"/>
      <c r="O471" s="58"/>
      <c r="P471" s="59"/>
      <c r="Q471" s="57"/>
      <c r="R471" s="57"/>
      <c r="S471" s="57"/>
      <c r="T471" s="57"/>
      <c r="U471" s="57"/>
    </row>
    <row r="472" spans="5:21" x14ac:dyDescent="0.25">
      <c r="E472" s="138"/>
      <c r="F472" s="138"/>
      <c r="I472" s="58"/>
      <c r="J472" s="58"/>
      <c r="K472" s="59"/>
      <c r="L472" s="59"/>
      <c r="O472" s="58"/>
      <c r="P472" s="59"/>
      <c r="Q472" s="57"/>
      <c r="R472" s="57"/>
      <c r="S472" s="57"/>
      <c r="T472" s="57"/>
      <c r="U472" s="57"/>
    </row>
    <row r="473" spans="5:21" x14ac:dyDescent="0.25">
      <c r="E473" s="138"/>
      <c r="F473" s="138"/>
      <c r="I473" s="58"/>
      <c r="J473" s="58"/>
      <c r="K473" s="59"/>
      <c r="L473" s="59"/>
      <c r="O473" s="58"/>
      <c r="P473" s="59"/>
      <c r="Q473" s="57"/>
      <c r="R473" s="57"/>
      <c r="S473" s="57"/>
      <c r="T473" s="57"/>
      <c r="U473" s="57"/>
    </row>
    <row r="474" spans="5:21" x14ac:dyDescent="0.25">
      <c r="E474" s="138"/>
      <c r="F474" s="138"/>
      <c r="I474" s="58"/>
      <c r="J474" s="58"/>
      <c r="K474" s="59"/>
      <c r="L474" s="59"/>
      <c r="O474" s="58"/>
      <c r="P474" s="59"/>
      <c r="Q474" s="57"/>
      <c r="R474" s="57"/>
      <c r="S474" s="57"/>
      <c r="T474" s="57"/>
      <c r="U474" s="57"/>
    </row>
    <row r="475" spans="5:21" x14ac:dyDescent="0.25">
      <c r="E475" s="138"/>
      <c r="F475" s="138"/>
      <c r="I475" s="58"/>
      <c r="J475" s="58"/>
      <c r="K475" s="59"/>
      <c r="L475" s="59"/>
      <c r="O475" s="58"/>
      <c r="P475" s="59"/>
      <c r="Q475" s="57"/>
      <c r="R475" s="57"/>
      <c r="S475" s="57"/>
      <c r="T475" s="57"/>
      <c r="U475" s="57"/>
    </row>
    <row r="476" spans="5:21" x14ac:dyDescent="0.25">
      <c r="E476" s="138"/>
      <c r="F476" s="138"/>
      <c r="I476" s="58"/>
      <c r="J476" s="58"/>
      <c r="K476" s="59"/>
      <c r="L476" s="59"/>
      <c r="O476" s="58"/>
      <c r="P476" s="59"/>
      <c r="Q476" s="57"/>
      <c r="R476" s="57"/>
      <c r="S476" s="57"/>
      <c r="T476" s="57"/>
      <c r="U476" s="57"/>
    </row>
    <row r="477" spans="5:21" x14ac:dyDescent="0.25">
      <c r="E477" s="138"/>
      <c r="F477" s="138"/>
      <c r="I477" s="58"/>
      <c r="J477" s="58"/>
      <c r="K477" s="59"/>
      <c r="L477" s="59"/>
      <c r="O477" s="58"/>
      <c r="P477" s="59"/>
      <c r="Q477" s="57"/>
      <c r="R477" s="57"/>
      <c r="S477" s="57"/>
      <c r="T477" s="57"/>
      <c r="U477" s="57"/>
    </row>
    <row r="478" spans="5:21" x14ac:dyDescent="0.25">
      <c r="E478" s="138"/>
      <c r="F478" s="138"/>
      <c r="I478" s="58"/>
      <c r="J478" s="58"/>
      <c r="K478" s="59"/>
      <c r="L478" s="59"/>
      <c r="O478" s="58"/>
      <c r="P478" s="59"/>
      <c r="Q478" s="57"/>
      <c r="R478" s="57"/>
      <c r="S478" s="57"/>
      <c r="T478" s="57"/>
      <c r="U478" s="57"/>
    </row>
    <row r="479" spans="5:21" x14ac:dyDescent="0.25">
      <c r="E479" s="138"/>
      <c r="F479" s="138"/>
      <c r="I479" s="58"/>
      <c r="J479" s="58"/>
      <c r="K479" s="59"/>
      <c r="L479" s="59"/>
      <c r="O479" s="58"/>
      <c r="P479" s="59"/>
      <c r="Q479" s="57"/>
      <c r="R479" s="57"/>
      <c r="S479" s="57"/>
      <c r="T479" s="57"/>
      <c r="U479" s="57"/>
    </row>
    <row r="480" spans="5:21" x14ac:dyDescent="0.25">
      <c r="E480" s="138"/>
      <c r="F480" s="138"/>
      <c r="I480" s="58"/>
      <c r="J480" s="58"/>
      <c r="K480" s="59"/>
      <c r="L480" s="59"/>
      <c r="O480" s="58"/>
      <c r="P480" s="59"/>
      <c r="Q480" s="57"/>
      <c r="R480" s="57"/>
      <c r="S480" s="57"/>
      <c r="T480" s="57"/>
      <c r="U480" s="57"/>
    </row>
    <row r="481" spans="5:21" x14ac:dyDescent="0.25">
      <c r="E481" s="138"/>
      <c r="F481" s="138"/>
      <c r="I481" s="58"/>
      <c r="J481" s="58"/>
      <c r="K481" s="59"/>
      <c r="L481" s="59"/>
      <c r="O481" s="58"/>
      <c r="P481" s="59"/>
      <c r="Q481" s="57"/>
      <c r="R481" s="57"/>
      <c r="S481" s="57"/>
      <c r="T481" s="57"/>
      <c r="U481" s="57"/>
    </row>
    <row r="482" spans="5:21" x14ac:dyDescent="0.25">
      <c r="E482" s="138"/>
      <c r="F482" s="138"/>
      <c r="I482" s="58"/>
      <c r="J482" s="58"/>
      <c r="K482" s="59"/>
      <c r="L482" s="59"/>
      <c r="O482" s="58"/>
      <c r="P482" s="59"/>
      <c r="Q482" s="57"/>
      <c r="R482" s="57"/>
      <c r="S482" s="57"/>
      <c r="T482" s="57"/>
      <c r="U482" s="57"/>
    </row>
    <row r="483" spans="5:21" x14ac:dyDescent="0.25">
      <c r="E483" s="138"/>
      <c r="F483" s="138"/>
      <c r="I483" s="58"/>
      <c r="J483" s="58"/>
      <c r="K483" s="59"/>
      <c r="L483" s="59"/>
      <c r="O483" s="58"/>
      <c r="P483" s="59"/>
      <c r="Q483" s="57"/>
      <c r="R483" s="57"/>
      <c r="S483" s="57"/>
      <c r="T483" s="57"/>
      <c r="U483" s="57"/>
    </row>
    <row r="484" spans="5:21" x14ac:dyDescent="0.25">
      <c r="E484" s="138"/>
      <c r="F484" s="138"/>
      <c r="I484" s="58"/>
      <c r="J484" s="58"/>
      <c r="K484" s="59"/>
      <c r="L484" s="59"/>
      <c r="O484" s="58"/>
      <c r="P484" s="59"/>
      <c r="Q484" s="57"/>
      <c r="R484" s="57"/>
      <c r="S484" s="57"/>
      <c r="T484" s="57"/>
      <c r="U484" s="57"/>
    </row>
    <row r="485" spans="5:21" x14ac:dyDescent="0.25">
      <c r="E485" s="138"/>
      <c r="F485" s="138"/>
      <c r="I485" s="58"/>
      <c r="J485" s="58"/>
      <c r="K485" s="59"/>
      <c r="L485" s="59"/>
      <c r="O485" s="58"/>
      <c r="P485" s="59"/>
      <c r="Q485" s="57"/>
      <c r="R485" s="57"/>
      <c r="S485" s="57"/>
      <c r="T485" s="57"/>
      <c r="U485" s="57"/>
    </row>
    <row r="486" spans="5:21" x14ac:dyDescent="0.25">
      <c r="E486" s="138"/>
      <c r="F486" s="138"/>
      <c r="I486" s="58"/>
      <c r="J486" s="58"/>
      <c r="K486" s="59"/>
      <c r="L486" s="59"/>
      <c r="O486" s="58"/>
      <c r="P486" s="59"/>
      <c r="Q486" s="57"/>
      <c r="R486" s="57"/>
      <c r="S486" s="57"/>
      <c r="T486" s="57"/>
      <c r="U486" s="57"/>
    </row>
    <row r="487" spans="5:21" x14ac:dyDescent="0.25">
      <c r="E487" s="138"/>
      <c r="F487" s="138"/>
      <c r="I487" s="58"/>
      <c r="J487" s="58"/>
      <c r="K487" s="59"/>
      <c r="L487" s="59"/>
      <c r="O487" s="58"/>
      <c r="P487" s="59"/>
      <c r="Q487" s="57"/>
      <c r="R487" s="57"/>
      <c r="S487" s="57"/>
      <c r="T487" s="57"/>
      <c r="U487" s="57"/>
    </row>
    <row r="488" spans="5:21" x14ac:dyDescent="0.25">
      <c r="E488" s="138"/>
      <c r="F488" s="138"/>
      <c r="I488" s="58"/>
      <c r="J488" s="58"/>
      <c r="K488" s="59"/>
      <c r="L488" s="59"/>
      <c r="O488" s="58"/>
      <c r="P488" s="59"/>
      <c r="Q488" s="57"/>
      <c r="R488" s="57"/>
      <c r="S488" s="57"/>
      <c r="T488" s="57"/>
      <c r="U488" s="57"/>
    </row>
    <row r="489" spans="5:21" x14ac:dyDescent="0.25">
      <c r="E489" s="138"/>
      <c r="F489" s="138"/>
      <c r="I489" s="58"/>
      <c r="J489" s="58"/>
      <c r="K489" s="59"/>
      <c r="L489" s="59"/>
      <c r="O489" s="58"/>
      <c r="P489" s="59"/>
      <c r="Q489" s="57"/>
      <c r="R489" s="57"/>
      <c r="S489" s="57"/>
      <c r="T489" s="57"/>
      <c r="U489" s="57"/>
    </row>
    <row r="490" spans="5:21" x14ac:dyDescent="0.25">
      <c r="E490" s="138"/>
      <c r="F490" s="138"/>
      <c r="I490" s="58"/>
      <c r="J490" s="58"/>
      <c r="K490" s="59"/>
      <c r="L490" s="59"/>
      <c r="O490" s="58"/>
      <c r="P490" s="59"/>
      <c r="Q490" s="57"/>
      <c r="R490" s="57"/>
      <c r="S490" s="57"/>
      <c r="T490" s="57"/>
      <c r="U490" s="57"/>
    </row>
    <row r="491" spans="5:21" x14ac:dyDescent="0.25">
      <c r="E491" s="138"/>
      <c r="F491" s="138"/>
      <c r="I491" s="58"/>
      <c r="J491" s="58"/>
      <c r="K491" s="59"/>
      <c r="L491" s="59"/>
      <c r="O491" s="58"/>
      <c r="P491" s="59"/>
      <c r="Q491" s="57"/>
      <c r="R491" s="57"/>
      <c r="S491" s="57"/>
      <c r="T491" s="57"/>
      <c r="U491" s="57"/>
    </row>
    <row r="492" spans="5:21" x14ac:dyDescent="0.25">
      <c r="E492" s="138"/>
      <c r="F492" s="138"/>
      <c r="I492" s="58"/>
      <c r="J492" s="58"/>
      <c r="K492" s="59"/>
      <c r="L492" s="59"/>
      <c r="O492" s="58"/>
      <c r="P492" s="59"/>
      <c r="Q492" s="57"/>
      <c r="R492" s="57"/>
      <c r="S492" s="57"/>
      <c r="T492" s="57"/>
      <c r="U492" s="57"/>
    </row>
    <row r="493" spans="5:21" x14ac:dyDescent="0.25">
      <c r="E493" s="138"/>
      <c r="F493" s="138"/>
      <c r="I493" s="58"/>
      <c r="J493" s="58"/>
      <c r="K493" s="59"/>
      <c r="L493" s="59"/>
      <c r="O493" s="58"/>
      <c r="P493" s="59"/>
      <c r="Q493" s="57"/>
      <c r="R493" s="57"/>
      <c r="S493" s="57"/>
      <c r="T493" s="57"/>
      <c r="U493" s="57"/>
    </row>
    <row r="494" spans="5:21" x14ac:dyDescent="0.25">
      <c r="E494" s="138"/>
      <c r="F494" s="138"/>
      <c r="I494" s="58"/>
      <c r="J494" s="58"/>
      <c r="K494" s="59"/>
      <c r="L494" s="59"/>
      <c r="O494" s="58"/>
      <c r="P494" s="59"/>
      <c r="Q494" s="57"/>
      <c r="R494" s="57"/>
      <c r="S494" s="57"/>
      <c r="T494" s="57"/>
      <c r="U494" s="57"/>
    </row>
    <row r="495" spans="5:21" x14ac:dyDescent="0.25">
      <c r="E495" s="138"/>
      <c r="F495" s="138"/>
      <c r="I495" s="58"/>
      <c r="J495" s="58"/>
      <c r="K495" s="59"/>
      <c r="L495" s="59"/>
      <c r="O495" s="58"/>
      <c r="P495" s="59"/>
      <c r="Q495" s="57"/>
      <c r="R495" s="57"/>
      <c r="S495" s="57"/>
      <c r="T495" s="57"/>
      <c r="U495" s="57"/>
    </row>
    <row r="496" spans="5:21" x14ac:dyDescent="0.25">
      <c r="E496" s="138"/>
      <c r="F496" s="138"/>
      <c r="I496" s="58"/>
      <c r="J496" s="58"/>
      <c r="K496" s="59"/>
      <c r="L496" s="59"/>
      <c r="O496" s="58"/>
      <c r="P496" s="59"/>
      <c r="Q496" s="57"/>
      <c r="R496" s="57"/>
      <c r="S496" s="57"/>
      <c r="T496" s="57"/>
      <c r="U496" s="57"/>
    </row>
    <row r="497" spans="5:21" x14ac:dyDescent="0.25">
      <c r="E497" s="138"/>
      <c r="F497" s="138"/>
      <c r="I497" s="58"/>
      <c r="J497" s="58"/>
      <c r="K497" s="59"/>
      <c r="L497" s="59"/>
      <c r="O497" s="58"/>
      <c r="P497" s="59"/>
      <c r="Q497" s="57"/>
      <c r="R497" s="57"/>
      <c r="S497" s="57"/>
      <c r="T497" s="57"/>
      <c r="U497" s="57"/>
    </row>
    <row r="498" spans="5:21" x14ac:dyDescent="0.25">
      <c r="E498" s="138"/>
      <c r="F498" s="138"/>
      <c r="I498" s="58"/>
      <c r="J498" s="58"/>
      <c r="K498" s="59"/>
      <c r="L498" s="59"/>
      <c r="O498" s="58"/>
      <c r="P498" s="59"/>
      <c r="Q498" s="57"/>
      <c r="R498" s="57"/>
      <c r="S498" s="57"/>
      <c r="T498" s="57"/>
      <c r="U498" s="57"/>
    </row>
    <row r="499" spans="5:21" x14ac:dyDescent="0.25">
      <c r="E499" s="138"/>
      <c r="F499" s="138"/>
      <c r="I499" s="58"/>
      <c r="J499" s="58"/>
      <c r="K499" s="59"/>
      <c r="L499" s="59"/>
      <c r="O499" s="58"/>
      <c r="P499" s="59"/>
      <c r="Q499" s="57"/>
      <c r="R499" s="57"/>
      <c r="S499" s="57"/>
      <c r="T499" s="57"/>
      <c r="U499" s="57"/>
    </row>
    <row r="500" spans="5:21" x14ac:dyDescent="0.25">
      <c r="E500" s="138"/>
      <c r="F500" s="138"/>
      <c r="I500" s="58"/>
      <c r="J500" s="58"/>
      <c r="K500" s="59"/>
      <c r="L500" s="59"/>
      <c r="O500" s="58"/>
      <c r="P500" s="59"/>
      <c r="Q500" s="57"/>
      <c r="R500" s="57"/>
      <c r="S500" s="57"/>
      <c r="T500" s="57"/>
      <c r="U500" s="57"/>
    </row>
    <row r="501" spans="5:21" x14ac:dyDescent="0.25">
      <c r="E501" s="138"/>
      <c r="F501" s="138"/>
      <c r="I501" s="58"/>
      <c r="J501" s="58"/>
      <c r="K501" s="59"/>
      <c r="L501" s="59"/>
      <c r="O501" s="58"/>
      <c r="P501" s="59"/>
      <c r="Q501" s="57"/>
      <c r="R501" s="57"/>
      <c r="S501" s="57"/>
      <c r="T501" s="57"/>
      <c r="U501" s="57"/>
    </row>
    <row r="502" spans="5:21" x14ac:dyDescent="0.25">
      <c r="E502" s="138"/>
      <c r="F502" s="138"/>
      <c r="I502" s="58"/>
      <c r="J502" s="58"/>
      <c r="K502" s="59"/>
      <c r="L502" s="59"/>
      <c r="O502" s="58"/>
      <c r="P502" s="59"/>
      <c r="Q502" s="57"/>
      <c r="R502" s="57"/>
      <c r="S502" s="57"/>
      <c r="T502" s="57"/>
      <c r="U502" s="57"/>
    </row>
    <row r="503" spans="5:21" x14ac:dyDescent="0.25">
      <c r="E503" s="138"/>
      <c r="F503" s="138"/>
      <c r="I503" s="58"/>
      <c r="J503" s="58"/>
      <c r="K503" s="59"/>
      <c r="L503" s="59"/>
      <c r="O503" s="58"/>
      <c r="P503" s="59"/>
      <c r="Q503" s="57"/>
      <c r="R503" s="57"/>
      <c r="S503" s="57"/>
      <c r="T503" s="57"/>
      <c r="U503" s="57"/>
    </row>
    <row r="504" spans="5:21" x14ac:dyDescent="0.25">
      <c r="E504" s="138"/>
      <c r="F504" s="138"/>
      <c r="I504" s="58"/>
      <c r="J504" s="58"/>
      <c r="K504" s="59"/>
      <c r="L504" s="59"/>
      <c r="O504" s="58"/>
      <c r="P504" s="59"/>
      <c r="Q504" s="57"/>
      <c r="R504" s="57"/>
      <c r="S504" s="57"/>
      <c r="T504" s="57"/>
      <c r="U504" s="57"/>
    </row>
    <row r="505" spans="5:21" x14ac:dyDescent="0.25">
      <c r="E505" s="138"/>
      <c r="F505" s="138"/>
      <c r="I505" s="58"/>
      <c r="J505" s="58"/>
      <c r="K505" s="59"/>
      <c r="L505" s="59"/>
      <c r="O505" s="58"/>
      <c r="P505" s="59"/>
      <c r="Q505" s="57"/>
      <c r="R505" s="57"/>
      <c r="S505" s="57"/>
      <c r="T505" s="57"/>
      <c r="U505" s="57"/>
    </row>
    <row r="506" spans="5:21" x14ac:dyDescent="0.25">
      <c r="E506" s="138"/>
      <c r="F506" s="138"/>
      <c r="I506" s="58"/>
      <c r="J506" s="58"/>
      <c r="K506" s="59"/>
      <c r="L506" s="59"/>
      <c r="O506" s="58"/>
      <c r="P506" s="59"/>
      <c r="Q506" s="57"/>
      <c r="R506" s="57"/>
      <c r="S506" s="57"/>
      <c r="T506" s="57"/>
      <c r="U506" s="57"/>
    </row>
    <row r="507" spans="5:21" x14ac:dyDescent="0.25">
      <c r="E507" s="138"/>
      <c r="F507" s="138"/>
      <c r="I507" s="58"/>
      <c r="J507" s="58"/>
      <c r="K507" s="59"/>
      <c r="L507" s="59"/>
      <c r="O507" s="58"/>
      <c r="P507" s="59"/>
      <c r="Q507" s="57"/>
      <c r="R507" s="57"/>
      <c r="S507" s="57"/>
      <c r="T507" s="57"/>
      <c r="U507" s="57"/>
    </row>
    <row r="508" spans="5:21" x14ac:dyDescent="0.25">
      <c r="E508" s="138"/>
      <c r="F508" s="138"/>
      <c r="I508" s="58"/>
      <c r="J508" s="58"/>
      <c r="K508" s="59"/>
      <c r="L508" s="59"/>
      <c r="O508" s="58"/>
      <c r="P508" s="59"/>
      <c r="Q508" s="57"/>
      <c r="R508" s="57"/>
      <c r="S508" s="57"/>
      <c r="T508" s="57"/>
      <c r="U508" s="57"/>
    </row>
    <row r="509" spans="5:21" x14ac:dyDescent="0.25">
      <c r="E509" s="138"/>
      <c r="F509" s="138"/>
      <c r="I509" s="58"/>
      <c r="J509" s="58"/>
      <c r="K509" s="59"/>
      <c r="L509" s="59"/>
      <c r="O509" s="58"/>
      <c r="P509" s="59"/>
      <c r="Q509" s="57"/>
      <c r="R509" s="57"/>
      <c r="S509" s="57"/>
      <c r="T509" s="57"/>
      <c r="U509" s="57"/>
    </row>
    <row r="510" spans="5:21" x14ac:dyDescent="0.25">
      <c r="E510" s="138"/>
      <c r="F510" s="138"/>
      <c r="I510" s="58"/>
      <c r="J510" s="58"/>
      <c r="K510" s="59"/>
      <c r="L510" s="59"/>
      <c r="O510" s="58"/>
      <c r="P510" s="59"/>
      <c r="Q510" s="57"/>
      <c r="R510" s="57"/>
      <c r="S510" s="57"/>
      <c r="T510" s="57"/>
      <c r="U510" s="57"/>
    </row>
    <row r="511" spans="5:21" x14ac:dyDescent="0.25">
      <c r="E511" s="138"/>
      <c r="F511" s="138"/>
      <c r="I511" s="58"/>
      <c r="J511" s="58"/>
      <c r="K511" s="59"/>
      <c r="L511" s="59"/>
      <c r="O511" s="58"/>
      <c r="P511" s="59"/>
      <c r="Q511" s="57"/>
      <c r="R511" s="57"/>
      <c r="S511" s="57"/>
      <c r="T511" s="57"/>
      <c r="U511" s="57"/>
    </row>
    <row r="512" spans="5:21" x14ac:dyDescent="0.25">
      <c r="E512" s="138"/>
      <c r="F512" s="138"/>
      <c r="I512" s="58"/>
      <c r="J512" s="58"/>
      <c r="K512" s="59"/>
      <c r="L512" s="59"/>
      <c r="O512" s="58"/>
      <c r="P512" s="59"/>
      <c r="Q512" s="57"/>
      <c r="R512" s="57"/>
      <c r="S512" s="57"/>
      <c r="T512" s="57"/>
      <c r="U512" s="57"/>
    </row>
    <row r="513" spans="5:21" x14ac:dyDescent="0.25">
      <c r="E513" s="138"/>
      <c r="F513" s="138"/>
      <c r="I513" s="58"/>
      <c r="J513" s="58"/>
      <c r="K513" s="59"/>
      <c r="L513" s="59"/>
      <c r="O513" s="58"/>
      <c r="P513" s="59"/>
      <c r="Q513" s="57"/>
      <c r="R513" s="57"/>
      <c r="S513" s="57"/>
      <c r="T513" s="57"/>
      <c r="U513" s="57"/>
    </row>
    <row r="514" spans="5:21" x14ac:dyDescent="0.25">
      <c r="E514" s="138"/>
      <c r="F514" s="138"/>
      <c r="I514" s="58"/>
      <c r="J514" s="58"/>
      <c r="K514" s="59"/>
      <c r="L514" s="59"/>
      <c r="O514" s="58"/>
      <c r="P514" s="59"/>
      <c r="Q514" s="57"/>
      <c r="R514" s="57"/>
      <c r="S514" s="57"/>
      <c r="T514" s="57"/>
      <c r="U514" s="57"/>
    </row>
    <row r="515" spans="5:21" x14ac:dyDescent="0.25">
      <c r="E515" s="138"/>
      <c r="F515" s="138"/>
      <c r="I515" s="58"/>
      <c r="J515" s="58"/>
      <c r="K515" s="59"/>
      <c r="L515" s="59"/>
      <c r="O515" s="58"/>
      <c r="P515" s="59"/>
      <c r="Q515" s="57"/>
      <c r="R515" s="57"/>
      <c r="S515" s="57"/>
      <c r="T515" s="57"/>
      <c r="U515" s="57"/>
    </row>
    <row r="516" spans="5:21" x14ac:dyDescent="0.25">
      <c r="E516" s="138"/>
      <c r="F516" s="138"/>
      <c r="I516" s="58"/>
      <c r="J516" s="58"/>
      <c r="K516" s="59"/>
      <c r="L516" s="59"/>
      <c r="O516" s="58"/>
      <c r="P516" s="59"/>
      <c r="Q516" s="57"/>
      <c r="R516" s="57"/>
      <c r="S516" s="57"/>
      <c r="T516" s="57"/>
      <c r="U516" s="57"/>
    </row>
    <row r="517" spans="5:21" x14ac:dyDescent="0.25">
      <c r="E517" s="138"/>
      <c r="F517" s="138"/>
      <c r="I517" s="58"/>
      <c r="J517" s="58"/>
      <c r="K517" s="59"/>
      <c r="L517" s="59"/>
      <c r="O517" s="58"/>
      <c r="P517" s="59"/>
      <c r="Q517" s="57"/>
      <c r="R517" s="57"/>
      <c r="S517" s="57"/>
      <c r="T517" s="57"/>
      <c r="U517" s="57"/>
    </row>
    <row r="518" spans="5:21" x14ac:dyDescent="0.25">
      <c r="E518" s="138"/>
      <c r="F518" s="138"/>
      <c r="I518" s="58"/>
      <c r="J518" s="58"/>
      <c r="K518" s="59"/>
      <c r="L518" s="59"/>
      <c r="O518" s="58"/>
      <c r="P518" s="59"/>
      <c r="Q518" s="57"/>
      <c r="R518" s="57"/>
      <c r="S518" s="57"/>
      <c r="T518" s="57"/>
      <c r="U518" s="57"/>
    </row>
    <row r="519" spans="5:21" x14ac:dyDescent="0.25">
      <c r="E519" s="138"/>
      <c r="F519" s="138"/>
      <c r="I519" s="58"/>
      <c r="J519" s="58"/>
      <c r="K519" s="59"/>
      <c r="L519" s="59"/>
      <c r="O519" s="58"/>
      <c r="P519" s="59"/>
      <c r="Q519" s="57"/>
      <c r="R519" s="57"/>
      <c r="S519" s="57"/>
      <c r="T519" s="57"/>
      <c r="U519" s="57"/>
    </row>
    <row r="520" spans="5:21" x14ac:dyDescent="0.25">
      <c r="E520" s="138"/>
      <c r="F520" s="138"/>
      <c r="I520" s="58"/>
      <c r="J520" s="58"/>
      <c r="K520" s="59"/>
      <c r="L520" s="59"/>
      <c r="O520" s="58"/>
      <c r="P520" s="59"/>
      <c r="Q520" s="57"/>
      <c r="R520" s="57"/>
      <c r="S520" s="57"/>
      <c r="T520" s="57"/>
      <c r="U520" s="57"/>
    </row>
    <row r="521" spans="5:21" x14ac:dyDescent="0.25">
      <c r="E521" s="138"/>
      <c r="F521" s="138"/>
      <c r="I521" s="58"/>
      <c r="J521" s="58"/>
      <c r="K521" s="59"/>
      <c r="L521" s="59"/>
      <c r="O521" s="58"/>
      <c r="P521" s="59"/>
      <c r="Q521" s="57"/>
      <c r="R521" s="57"/>
      <c r="S521" s="57"/>
      <c r="T521" s="57"/>
      <c r="U521" s="57"/>
    </row>
    <row r="522" spans="5:21" x14ac:dyDescent="0.25">
      <c r="E522" s="138"/>
      <c r="F522" s="138"/>
      <c r="I522" s="58"/>
      <c r="J522" s="58"/>
      <c r="K522" s="59"/>
      <c r="L522" s="59"/>
      <c r="O522" s="58"/>
      <c r="P522" s="59"/>
      <c r="Q522" s="57"/>
      <c r="R522" s="57"/>
      <c r="S522" s="57"/>
      <c r="T522" s="57"/>
      <c r="U522" s="57"/>
    </row>
    <row r="523" spans="5:21" x14ac:dyDescent="0.25">
      <c r="E523" s="138"/>
      <c r="F523" s="138"/>
      <c r="I523" s="58"/>
      <c r="J523" s="58"/>
      <c r="K523" s="59"/>
      <c r="L523" s="59"/>
      <c r="O523" s="58"/>
      <c r="P523" s="59"/>
      <c r="Q523" s="57"/>
      <c r="R523" s="57"/>
      <c r="S523" s="57"/>
      <c r="T523" s="57"/>
      <c r="U523" s="57"/>
    </row>
    <row r="524" spans="5:21" x14ac:dyDescent="0.25">
      <c r="E524" s="138"/>
      <c r="F524" s="138"/>
      <c r="I524" s="58"/>
      <c r="J524" s="58"/>
      <c r="K524" s="59"/>
      <c r="L524" s="59"/>
      <c r="O524" s="58"/>
      <c r="P524" s="59"/>
      <c r="Q524" s="57"/>
      <c r="R524" s="57"/>
      <c r="S524" s="57"/>
      <c r="T524" s="57"/>
      <c r="U524" s="57"/>
    </row>
    <row r="525" spans="5:21" x14ac:dyDescent="0.25">
      <c r="E525" s="138"/>
      <c r="F525" s="138"/>
      <c r="I525" s="58"/>
      <c r="J525" s="58"/>
      <c r="K525" s="59"/>
      <c r="L525" s="59"/>
      <c r="O525" s="58"/>
      <c r="P525" s="59"/>
      <c r="Q525" s="57"/>
      <c r="R525" s="57"/>
      <c r="S525" s="57"/>
      <c r="T525" s="57"/>
      <c r="U525" s="57"/>
    </row>
    <row r="526" spans="5:21" x14ac:dyDescent="0.25">
      <c r="E526" s="138"/>
      <c r="F526" s="138"/>
      <c r="I526" s="58"/>
      <c r="J526" s="58"/>
      <c r="K526" s="59"/>
      <c r="L526" s="59"/>
      <c r="O526" s="58"/>
      <c r="P526" s="59"/>
      <c r="Q526" s="57"/>
      <c r="R526" s="57"/>
      <c r="S526" s="57"/>
      <c r="T526" s="57"/>
      <c r="U526" s="57"/>
    </row>
    <row r="527" spans="5:21" x14ac:dyDescent="0.25">
      <c r="E527" s="138"/>
      <c r="F527" s="138"/>
      <c r="I527" s="58"/>
      <c r="J527" s="58"/>
      <c r="K527" s="59"/>
      <c r="L527" s="59"/>
      <c r="O527" s="58"/>
      <c r="P527" s="59"/>
      <c r="Q527" s="57"/>
      <c r="R527" s="57"/>
      <c r="S527" s="57"/>
      <c r="T527" s="57"/>
      <c r="U527" s="57"/>
    </row>
    <row r="528" spans="5:21" x14ac:dyDescent="0.25">
      <c r="E528" s="138"/>
      <c r="F528" s="138"/>
      <c r="I528" s="58"/>
      <c r="J528" s="58"/>
      <c r="K528" s="59"/>
      <c r="L528" s="59"/>
      <c r="O528" s="58"/>
      <c r="P528" s="59"/>
      <c r="Q528" s="57"/>
      <c r="R528" s="57"/>
      <c r="S528" s="57"/>
      <c r="T528" s="57"/>
      <c r="U528" s="57"/>
    </row>
    <row r="529" spans="5:21" x14ac:dyDescent="0.25">
      <c r="E529" s="138"/>
      <c r="F529" s="138"/>
      <c r="I529" s="58"/>
      <c r="J529" s="58"/>
      <c r="K529" s="59"/>
      <c r="L529" s="59"/>
      <c r="O529" s="58"/>
      <c r="P529" s="59"/>
      <c r="Q529" s="57"/>
      <c r="R529" s="57"/>
      <c r="S529" s="57"/>
      <c r="T529" s="57"/>
      <c r="U529" s="57"/>
    </row>
    <row r="530" spans="5:21" x14ac:dyDescent="0.25">
      <c r="E530" s="138"/>
      <c r="F530" s="138"/>
      <c r="I530" s="58"/>
      <c r="J530" s="58"/>
      <c r="K530" s="59"/>
      <c r="L530" s="59"/>
      <c r="O530" s="58"/>
      <c r="P530" s="59"/>
      <c r="Q530" s="57"/>
      <c r="R530" s="57"/>
      <c r="S530" s="57"/>
      <c r="T530" s="57"/>
      <c r="U530" s="57"/>
    </row>
    <row r="531" spans="5:21" x14ac:dyDescent="0.25">
      <c r="E531" s="138"/>
      <c r="F531" s="138"/>
      <c r="I531" s="58"/>
      <c r="J531" s="58"/>
      <c r="K531" s="59"/>
      <c r="L531" s="59"/>
      <c r="O531" s="58"/>
      <c r="P531" s="59"/>
      <c r="Q531" s="57"/>
      <c r="R531" s="57"/>
      <c r="S531" s="57"/>
      <c r="T531" s="57"/>
      <c r="U531" s="57"/>
    </row>
    <row r="532" spans="5:21" x14ac:dyDescent="0.25">
      <c r="E532" s="138"/>
      <c r="F532" s="138"/>
      <c r="I532" s="58"/>
      <c r="J532" s="58"/>
      <c r="K532" s="59"/>
      <c r="L532" s="59"/>
      <c r="O532" s="58"/>
      <c r="P532" s="59"/>
      <c r="Q532" s="57"/>
      <c r="R532" s="57"/>
      <c r="S532" s="57"/>
      <c r="T532" s="57"/>
      <c r="U532" s="57"/>
    </row>
    <row r="533" spans="5:21" x14ac:dyDescent="0.25">
      <c r="E533" s="138"/>
      <c r="F533" s="138"/>
      <c r="I533" s="58"/>
      <c r="J533" s="58"/>
      <c r="K533" s="59"/>
      <c r="L533" s="59"/>
      <c r="O533" s="58"/>
      <c r="P533" s="59"/>
      <c r="Q533" s="57"/>
      <c r="R533" s="57"/>
      <c r="S533" s="57"/>
      <c r="T533" s="57"/>
      <c r="U533" s="57"/>
    </row>
    <row r="534" spans="5:21" x14ac:dyDescent="0.25">
      <c r="E534" s="138"/>
      <c r="F534" s="138"/>
      <c r="I534" s="58"/>
      <c r="J534" s="58"/>
      <c r="K534" s="59"/>
      <c r="L534" s="59"/>
      <c r="O534" s="58"/>
      <c r="P534" s="59"/>
      <c r="Q534" s="57"/>
      <c r="R534" s="57"/>
      <c r="S534" s="57"/>
      <c r="T534" s="57"/>
      <c r="U534" s="57"/>
    </row>
    <row r="535" spans="5:21" x14ac:dyDescent="0.25">
      <c r="E535" s="138"/>
      <c r="F535" s="138"/>
      <c r="I535" s="58"/>
      <c r="J535" s="58"/>
      <c r="K535" s="59"/>
      <c r="L535" s="59"/>
      <c r="O535" s="58"/>
      <c r="P535" s="59"/>
      <c r="Q535" s="57"/>
      <c r="R535" s="57"/>
      <c r="S535" s="57"/>
      <c r="T535" s="57"/>
      <c r="U535" s="57"/>
    </row>
    <row r="536" spans="5:21" x14ac:dyDescent="0.25">
      <c r="E536" s="138"/>
      <c r="F536" s="138"/>
      <c r="I536" s="58"/>
      <c r="J536" s="58"/>
      <c r="K536" s="59"/>
      <c r="L536" s="59"/>
      <c r="O536" s="58"/>
      <c r="P536" s="59"/>
      <c r="Q536" s="57"/>
      <c r="R536" s="57"/>
      <c r="S536" s="57"/>
      <c r="T536" s="57"/>
      <c r="U536" s="57"/>
    </row>
    <row r="537" spans="5:21" x14ac:dyDescent="0.25">
      <c r="E537" s="138"/>
      <c r="F537" s="138"/>
      <c r="I537" s="58"/>
      <c r="J537" s="58"/>
      <c r="K537" s="59"/>
      <c r="L537" s="59"/>
      <c r="O537" s="58"/>
      <c r="P537" s="59"/>
      <c r="Q537" s="57"/>
      <c r="R537" s="57"/>
      <c r="S537" s="57"/>
      <c r="T537" s="57"/>
      <c r="U537" s="57"/>
    </row>
    <row r="538" spans="5:21" x14ac:dyDescent="0.25">
      <c r="E538" s="138"/>
      <c r="F538" s="138"/>
      <c r="I538" s="58"/>
      <c r="J538" s="58"/>
      <c r="K538" s="59"/>
      <c r="L538" s="59"/>
      <c r="O538" s="58"/>
      <c r="P538" s="59"/>
      <c r="Q538" s="57"/>
      <c r="R538" s="57"/>
      <c r="S538" s="57"/>
      <c r="T538" s="57"/>
      <c r="U538" s="57"/>
    </row>
    <row r="539" spans="5:21" x14ac:dyDescent="0.25">
      <c r="E539" s="138"/>
      <c r="F539" s="138"/>
      <c r="I539" s="58"/>
      <c r="J539" s="58"/>
      <c r="K539" s="59"/>
      <c r="L539" s="59"/>
      <c r="O539" s="58"/>
      <c r="P539" s="59"/>
      <c r="Q539" s="57"/>
      <c r="R539" s="57"/>
      <c r="S539" s="57"/>
      <c r="T539" s="57"/>
      <c r="U539" s="57"/>
    </row>
    <row r="540" spans="5:21" x14ac:dyDescent="0.25">
      <c r="E540" s="138"/>
      <c r="F540" s="138"/>
      <c r="I540" s="58"/>
      <c r="J540" s="58"/>
      <c r="K540" s="59"/>
      <c r="L540" s="59"/>
      <c r="O540" s="58"/>
      <c r="P540" s="59"/>
      <c r="Q540" s="57"/>
      <c r="R540" s="57"/>
      <c r="S540" s="57"/>
      <c r="T540" s="57"/>
      <c r="U540" s="57"/>
    </row>
    <row r="541" spans="5:21" x14ac:dyDescent="0.25">
      <c r="E541" s="138"/>
      <c r="F541" s="138"/>
      <c r="I541" s="58"/>
      <c r="J541" s="58"/>
      <c r="K541" s="59"/>
      <c r="L541" s="59"/>
      <c r="O541" s="58"/>
      <c r="P541" s="59"/>
      <c r="Q541" s="57"/>
      <c r="R541" s="57"/>
      <c r="S541" s="57"/>
      <c r="T541" s="57"/>
      <c r="U541" s="57"/>
    </row>
    <row r="542" spans="5:21" x14ac:dyDescent="0.25">
      <c r="E542" s="138"/>
      <c r="F542" s="138"/>
      <c r="I542" s="58"/>
      <c r="J542" s="58"/>
      <c r="K542" s="59"/>
      <c r="L542" s="59"/>
      <c r="O542" s="58"/>
      <c r="P542" s="59"/>
      <c r="Q542" s="57"/>
      <c r="R542" s="57"/>
      <c r="S542" s="57"/>
      <c r="T542" s="57"/>
      <c r="U542" s="57"/>
    </row>
    <row r="543" spans="5:21" x14ac:dyDescent="0.25">
      <c r="E543" s="138"/>
      <c r="F543" s="138"/>
      <c r="I543" s="58"/>
      <c r="J543" s="58"/>
      <c r="K543" s="59"/>
      <c r="L543" s="59"/>
      <c r="O543" s="58"/>
      <c r="P543" s="59"/>
      <c r="Q543" s="57"/>
      <c r="R543" s="57"/>
      <c r="S543" s="57"/>
      <c r="T543" s="57"/>
      <c r="U543" s="57"/>
    </row>
    <row r="544" spans="5:21" x14ac:dyDescent="0.25">
      <c r="E544" s="138"/>
      <c r="F544" s="138"/>
      <c r="I544" s="58"/>
      <c r="J544" s="58"/>
      <c r="K544" s="59"/>
      <c r="L544" s="59"/>
      <c r="O544" s="58"/>
      <c r="P544" s="59"/>
      <c r="Q544" s="57"/>
      <c r="R544" s="57"/>
      <c r="S544" s="57"/>
      <c r="T544" s="57"/>
      <c r="U544" s="57"/>
    </row>
    <row r="545" spans="5:21" x14ac:dyDescent="0.25">
      <c r="E545" s="138"/>
      <c r="F545" s="138"/>
      <c r="I545" s="58"/>
      <c r="J545" s="58"/>
      <c r="K545" s="59"/>
      <c r="L545" s="59"/>
      <c r="O545" s="58"/>
      <c r="P545" s="59"/>
      <c r="Q545" s="57"/>
      <c r="R545" s="57"/>
      <c r="S545" s="57"/>
      <c r="T545" s="57"/>
      <c r="U545" s="57"/>
    </row>
    <row r="546" spans="5:21" x14ac:dyDescent="0.25">
      <c r="E546" s="138"/>
      <c r="F546" s="138"/>
      <c r="I546" s="58"/>
      <c r="J546" s="58"/>
      <c r="K546" s="59"/>
      <c r="L546" s="59"/>
      <c r="O546" s="58"/>
      <c r="P546" s="59"/>
      <c r="Q546" s="57"/>
      <c r="R546" s="57"/>
      <c r="S546" s="57"/>
      <c r="T546" s="57"/>
      <c r="U546" s="57"/>
    </row>
    <row r="547" spans="5:21" x14ac:dyDescent="0.25">
      <c r="E547" s="138"/>
      <c r="F547" s="138"/>
      <c r="I547" s="58"/>
      <c r="J547" s="58"/>
      <c r="K547" s="59"/>
      <c r="L547" s="59"/>
      <c r="O547" s="58"/>
      <c r="P547" s="59"/>
      <c r="Q547" s="57"/>
      <c r="R547" s="57"/>
      <c r="S547" s="57"/>
      <c r="T547" s="57"/>
      <c r="U547" s="57"/>
    </row>
    <row r="548" spans="5:21" x14ac:dyDescent="0.25">
      <c r="E548" s="138"/>
      <c r="F548" s="138"/>
      <c r="I548" s="58"/>
      <c r="J548" s="58"/>
      <c r="K548" s="59"/>
      <c r="L548" s="59"/>
      <c r="O548" s="58"/>
      <c r="P548" s="59"/>
      <c r="Q548" s="57"/>
      <c r="R548" s="57"/>
      <c r="S548" s="57"/>
      <c r="T548" s="57"/>
      <c r="U548" s="57"/>
    </row>
    <row r="549" spans="5:21" x14ac:dyDescent="0.25">
      <c r="E549" s="138"/>
      <c r="F549" s="138"/>
      <c r="I549" s="58"/>
      <c r="J549" s="58"/>
      <c r="K549" s="59"/>
      <c r="L549" s="59"/>
      <c r="O549" s="58"/>
      <c r="P549" s="59"/>
      <c r="Q549" s="57"/>
      <c r="R549" s="57"/>
      <c r="S549" s="57"/>
      <c r="T549" s="57"/>
      <c r="U549" s="57"/>
    </row>
    <row r="550" spans="5:21" x14ac:dyDescent="0.25">
      <c r="E550" s="138"/>
      <c r="F550" s="138"/>
      <c r="I550" s="58"/>
      <c r="J550" s="58"/>
      <c r="K550" s="59"/>
      <c r="L550" s="59"/>
      <c r="O550" s="58"/>
      <c r="P550" s="59"/>
      <c r="Q550" s="57"/>
      <c r="R550" s="57"/>
      <c r="S550" s="57"/>
      <c r="T550" s="57"/>
      <c r="U550" s="57"/>
    </row>
    <row r="551" spans="5:21" x14ac:dyDescent="0.25">
      <c r="E551" s="138"/>
      <c r="F551" s="138"/>
      <c r="I551" s="58"/>
      <c r="J551" s="58"/>
      <c r="K551" s="59"/>
      <c r="L551" s="59"/>
      <c r="O551" s="58"/>
      <c r="P551" s="59"/>
      <c r="Q551" s="57"/>
      <c r="R551" s="57"/>
      <c r="S551" s="57"/>
      <c r="T551" s="57"/>
      <c r="U551" s="57"/>
    </row>
    <row r="552" spans="5:21" x14ac:dyDescent="0.25">
      <c r="E552" s="138"/>
      <c r="F552" s="138"/>
      <c r="I552" s="58"/>
      <c r="J552" s="58"/>
      <c r="K552" s="59"/>
      <c r="L552" s="59"/>
      <c r="O552" s="58"/>
      <c r="P552" s="59"/>
      <c r="Q552" s="57"/>
      <c r="R552" s="57"/>
      <c r="S552" s="57"/>
      <c r="T552" s="57"/>
      <c r="U552" s="57"/>
    </row>
    <row r="553" spans="5:21" x14ac:dyDescent="0.25">
      <c r="E553" s="138"/>
      <c r="F553" s="138"/>
      <c r="I553" s="58"/>
      <c r="J553" s="58"/>
      <c r="K553" s="59"/>
      <c r="L553" s="59"/>
      <c r="O553" s="58"/>
      <c r="P553" s="59"/>
      <c r="Q553" s="57"/>
      <c r="R553" s="57"/>
      <c r="S553" s="57"/>
      <c r="T553" s="57"/>
      <c r="U553" s="57"/>
    </row>
    <row r="554" spans="5:21" x14ac:dyDescent="0.25">
      <c r="E554" s="138"/>
      <c r="F554" s="138"/>
      <c r="I554" s="58"/>
      <c r="J554" s="58"/>
      <c r="K554" s="59"/>
      <c r="L554" s="59"/>
      <c r="O554" s="58"/>
      <c r="P554" s="59"/>
      <c r="Q554" s="57"/>
      <c r="R554" s="57"/>
      <c r="S554" s="57"/>
      <c r="T554" s="57"/>
      <c r="U554" s="57"/>
    </row>
    <row r="555" spans="5:21" x14ac:dyDescent="0.25">
      <c r="E555" s="138"/>
      <c r="F555" s="138"/>
      <c r="I555" s="58"/>
      <c r="J555" s="58"/>
      <c r="K555" s="59"/>
      <c r="L555" s="59"/>
      <c r="O555" s="58"/>
      <c r="P555" s="59"/>
      <c r="Q555" s="57"/>
      <c r="R555" s="57"/>
      <c r="S555" s="57"/>
      <c r="T555" s="57"/>
      <c r="U555" s="57"/>
    </row>
    <row r="556" spans="5:21" x14ac:dyDescent="0.25">
      <c r="E556" s="138"/>
      <c r="F556" s="138"/>
      <c r="I556" s="58"/>
      <c r="J556" s="58"/>
      <c r="K556" s="59"/>
      <c r="L556" s="59"/>
      <c r="O556" s="58"/>
      <c r="P556" s="59"/>
      <c r="Q556" s="57"/>
      <c r="R556" s="57"/>
      <c r="S556" s="57"/>
      <c r="T556" s="57"/>
      <c r="U556" s="57"/>
    </row>
    <row r="557" spans="5:21" x14ac:dyDescent="0.25">
      <c r="E557" s="138"/>
      <c r="F557" s="138"/>
      <c r="I557" s="58"/>
      <c r="J557" s="58"/>
      <c r="K557" s="59"/>
      <c r="L557" s="59"/>
      <c r="O557" s="58"/>
      <c r="P557" s="59"/>
      <c r="Q557" s="57"/>
      <c r="R557" s="57"/>
      <c r="S557" s="57"/>
      <c r="T557" s="57"/>
      <c r="U557" s="57"/>
    </row>
    <row r="558" spans="5:21" x14ac:dyDescent="0.25">
      <c r="E558" s="138"/>
      <c r="F558" s="138"/>
      <c r="I558" s="58"/>
      <c r="J558" s="58"/>
      <c r="K558" s="59"/>
      <c r="L558" s="59"/>
      <c r="O558" s="58"/>
      <c r="P558" s="59"/>
      <c r="Q558" s="57"/>
      <c r="R558" s="57"/>
      <c r="S558" s="57"/>
      <c r="T558" s="57"/>
      <c r="U558" s="57"/>
    </row>
    <row r="559" spans="5:21" x14ac:dyDescent="0.25">
      <c r="E559" s="138"/>
      <c r="F559" s="138"/>
      <c r="I559" s="58"/>
      <c r="J559" s="58"/>
      <c r="K559" s="59"/>
      <c r="L559" s="59"/>
      <c r="O559" s="58"/>
      <c r="P559" s="59"/>
      <c r="Q559" s="57"/>
      <c r="R559" s="57"/>
      <c r="S559" s="57"/>
      <c r="T559" s="57"/>
      <c r="U559" s="57"/>
    </row>
    <row r="560" spans="5:21" x14ac:dyDescent="0.25">
      <c r="E560" s="138"/>
      <c r="F560" s="138"/>
      <c r="I560" s="58"/>
      <c r="J560" s="58"/>
      <c r="K560" s="59"/>
      <c r="L560" s="59"/>
      <c r="O560" s="58"/>
      <c r="P560" s="59"/>
      <c r="Q560" s="57"/>
      <c r="R560" s="57"/>
      <c r="S560" s="57"/>
      <c r="T560" s="57"/>
      <c r="U560" s="57"/>
    </row>
    <row r="561" spans="5:21" x14ac:dyDescent="0.25">
      <c r="E561" s="138"/>
      <c r="F561" s="138"/>
      <c r="I561" s="58"/>
      <c r="J561" s="58"/>
      <c r="K561" s="59"/>
      <c r="L561" s="59"/>
      <c r="O561" s="58"/>
      <c r="P561" s="59"/>
      <c r="Q561" s="57"/>
      <c r="R561" s="57"/>
      <c r="S561" s="57"/>
      <c r="T561" s="57"/>
      <c r="U561" s="57"/>
    </row>
    <row r="562" spans="5:21" x14ac:dyDescent="0.25">
      <c r="E562" s="138"/>
      <c r="F562" s="138"/>
      <c r="I562" s="58"/>
      <c r="J562" s="58"/>
      <c r="K562" s="59"/>
      <c r="L562" s="59"/>
      <c r="O562" s="58"/>
      <c r="P562" s="59"/>
      <c r="Q562" s="57"/>
      <c r="R562" s="57"/>
      <c r="S562" s="57"/>
      <c r="T562" s="57"/>
      <c r="U562" s="57"/>
    </row>
    <row r="563" spans="5:21" x14ac:dyDescent="0.25">
      <c r="E563" s="138"/>
      <c r="F563" s="138"/>
      <c r="I563" s="58"/>
      <c r="J563" s="58"/>
      <c r="K563" s="59"/>
      <c r="L563" s="59"/>
      <c r="O563" s="58"/>
      <c r="P563" s="59"/>
      <c r="Q563" s="57"/>
      <c r="R563" s="57"/>
      <c r="S563" s="57"/>
      <c r="T563" s="57"/>
      <c r="U563" s="57"/>
    </row>
    <row r="564" spans="5:21" x14ac:dyDescent="0.25">
      <c r="E564" s="138"/>
      <c r="F564" s="138"/>
      <c r="I564" s="58"/>
      <c r="J564" s="58"/>
      <c r="K564" s="59"/>
      <c r="L564" s="59"/>
      <c r="O564" s="58"/>
      <c r="P564" s="59"/>
      <c r="Q564" s="57"/>
      <c r="R564" s="57"/>
      <c r="S564" s="57"/>
      <c r="T564" s="57"/>
      <c r="U564" s="57"/>
    </row>
    <row r="565" spans="5:21" x14ac:dyDescent="0.25">
      <c r="E565" s="138"/>
      <c r="F565" s="138"/>
      <c r="I565" s="58"/>
      <c r="J565" s="58"/>
      <c r="K565" s="59"/>
      <c r="L565" s="59"/>
      <c r="O565" s="58"/>
      <c r="P565" s="59"/>
      <c r="Q565" s="57"/>
      <c r="R565" s="57"/>
      <c r="S565" s="57"/>
      <c r="T565" s="57"/>
      <c r="U565" s="57"/>
    </row>
    <row r="566" spans="5:21" x14ac:dyDescent="0.25">
      <c r="E566" s="138"/>
      <c r="F566" s="138"/>
      <c r="I566" s="58"/>
      <c r="J566" s="58"/>
      <c r="K566" s="59"/>
      <c r="L566" s="59"/>
      <c r="O566" s="58"/>
      <c r="P566" s="59"/>
      <c r="Q566" s="57"/>
      <c r="R566" s="57"/>
      <c r="S566" s="57"/>
      <c r="T566" s="57"/>
      <c r="U566" s="57"/>
    </row>
    <row r="567" spans="5:21" x14ac:dyDescent="0.25">
      <c r="E567" s="138"/>
      <c r="F567" s="138"/>
      <c r="I567" s="58"/>
      <c r="J567" s="58"/>
      <c r="K567" s="59"/>
      <c r="L567" s="59"/>
      <c r="O567" s="58"/>
      <c r="P567" s="59"/>
      <c r="Q567" s="57"/>
      <c r="R567" s="57"/>
      <c r="S567" s="57"/>
      <c r="T567" s="57"/>
      <c r="U567" s="57"/>
    </row>
    <row r="568" spans="5:21" x14ac:dyDescent="0.25">
      <c r="E568" s="138"/>
      <c r="F568" s="138"/>
      <c r="I568" s="58"/>
      <c r="J568" s="58"/>
      <c r="K568" s="59"/>
      <c r="L568" s="59"/>
      <c r="O568" s="58"/>
      <c r="P568" s="59"/>
      <c r="Q568" s="57"/>
      <c r="R568" s="57"/>
      <c r="S568" s="57"/>
      <c r="T568" s="57"/>
      <c r="U568" s="57"/>
    </row>
    <row r="569" spans="5:21" x14ac:dyDescent="0.25">
      <c r="E569" s="138"/>
      <c r="F569" s="138"/>
      <c r="I569" s="58"/>
      <c r="J569" s="58"/>
      <c r="K569" s="59"/>
      <c r="L569" s="59"/>
      <c r="O569" s="58"/>
      <c r="P569" s="59"/>
      <c r="Q569" s="57"/>
      <c r="R569" s="57"/>
      <c r="S569" s="57"/>
      <c r="T569" s="57"/>
      <c r="U569" s="57"/>
    </row>
    <row r="570" spans="5:21" x14ac:dyDescent="0.25">
      <c r="E570" s="138"/>
      <c r="F570" s="138"/>
      <c r="I570" s="58"/>
      <c r="J570" s="58"/>
      <c r="K570" s="59"/>
      <c r="L570" s="59"/>
      <c r="O570" s="58"/>
      <c r="P570" s="59"/>
      <c r="Q570" s="57"/>
      <c r="R570" s="57"/>
      <c r="S570" s="57"/>
      <c r="T570" s="57"/>
      <c r="U570" s="57"/>
    </row>
    <row r="571" spans="5:21" x14ac:dyDescent="0.25">
      <c r="E571" s="138"/>
      <c r="F571" s="138"/>
      <c r="I571" s="58"/>
      <c r="J571" s="58"/>
      <c r="K571" s="59"/>
      <c r="L571" s="59"/>
      <c r="O571" s="58"/>
      <c r="P571" s="59"/>
      <c r="Q571" s="57"/>
      <c r="R571" s="57"/>
      <c r="S571" s="57"/>
      <c r="T571" s="57"/>
      <c r="U571" s="57"/>
    </row>
    <row r="572" spans="5:21" x14ac:dyDescent="0.25">
      <c r="E572" s="138"/>
      <c r="F572" s="138"/>
      <c r="I572" s="58"/>
      <c r="J572" s="58"/>
      <c r="K572" s="59"/>
      <c r="L572" s="59"/>
      <c r="O572" s="58"/>
      <c r="P572" s="59"/>
      <c r="Q572" s="57"/>
      <c r="R572" s="57"/>
      <c r="S572" s="57"/>
      <c r="T572" s="57"/>
      <c r="U572" s="57"/>
    </row>
    <row r="573" spans="5:21" x14ac:dyDescent="0.25">
      <c r="E573" s="138"/>
      <c r="F573" s="138"/>
      <c r="I573" s="58"/>
      <c r="J573" s="58"/>
      <c r="K573" s="59"/>
      <c r="L573" s="59"/>
      <c r="O573" s="58"/>
      <c r="P573" s="59"/>
      <c r="Q573" s="57"/>
      <c r="R573" s="57"/>
      <c r="S573" s="57"/>
      <c r="T573" s="57"/>
      <c r="U573" s="57"/>
    </row>
    <row r="574" spans="5:21" x14ac:dyDescent="0.25">
      <c r="E574" s="138"/>
      <c r="F574" s="138"/>
      <c r="I574" s="58"/>
      <c r="J574" s="58"/>
      <c r="K574" s="59"/>
      <c r="L574" s="59"/>
      <c r="O574" s="58"/>
      <c r="P574" s="59"/>
      <c r="Q574" s="57"/>
      <c r="R574" s="57"/>
      <c r="S574" s="57"/>
      <c r="T574" s="57"/>
      <c r="U574" s="57"/>
    </row>
    <row r="575" spans="5:21" x14ac:dyDescent="0.25">
      <c r="E575" s="138"/>
      <c r="F575" s="138"/>
      <c r="I575" s="58"/>
      <c r="J575" s="58"/>
      <c r="K575" s="59"/>
      <c r="L575" s="59"/>
      <c r="O575" s="58"/>
      <c r="P575" s="59"/>
      <c r="Q575" s="57"/>
      <c r="R575" s="57"/>
      <c r="S575" s="57"/>
      <c r="T575" s="57"/>
      <c r="U575" s="57"/>
    </row>
    <row r="576" spans="5:21" x14ac:dyDescent="0.25">
      <c r="E576" s="138"/>
      <c r="F576" s="138"/>
      <c r="I576" s="58"/>
      <c r="J576" s="58"/>
      <c r="K576" s="59"/>
      <c r="L576" s="59"/>
      <c r="O576" s="58"/>
      <c r="P576" s="59"/>
      <c r="Q576" s="57"/>
      <c r="R576" s="57"/>
      <c r="S576" s="57"/>
      <c r="T576" s="57"/>
      <c r="U576" s="57"/>
    </row>
    <row r="577" spans="5:21" x14ac:dyDescent="0.25">
      <c r="E577" s="138"/>
      <c r="F577" s="138"/>
      <c r="I577" s="58"/>
      <c r="J577" s="58"/>
      <c r="K577" s="59"/>
      <c r="L577" s="59"/>
      <c r="O577" s="58"/>
      <c r="P577" s="59"/>
      <c r="Q577" s="57"/>
      <c r="R577" s="57"/>
      <c r="S577" s="57"/>
      <c r="T577" s="57"/>
      <c r="U577" s="57"/>
    </row>
    <row r="578" spans="5:21" x14ac:dyDescent="0.25">
      <c r="E578" s="138"/>
      <c r="F578" s="138"/>
      <c r="I578" s="58"/>
      <c r="J578" s="58"/>
      <c r="K578" s="59"/>
      <c r="L578" s="59"/>
      <c r="O578" s="58"/>
      <c r="P578" s="59"/>
      <c r="Q578" s="57"/>
      <c r="R578" s="57"/>
      <c r="S578" s="57"/>
      <c r="T578" s="57"/>
      <c r="U578" s="57"/>
    </row>
    <row r="579" spans="5:21" x14ac:dyDescent="0.25">
      <c r="E579" s="138"/>
      <c r="F579" s="138"/>
      <c r="I579" s="58"/>
      <c r="J579" s="58"/>
      <c r="K579" s="59"/>
      <c r="L579" s="59"/>
      <c r="O579" s="58"/>
      <c r="P579" s="59"/>
      <c r="Q579" s="57"/>
      <c r="R579" s="57"/>
      <c r="S579" s="57"/>
      <c r="T579" s="57"/>
      <c r="U579" s="57"/>
    </row>
    <row r="580" spans="5:21" x14ac:dyDescent="0.25">
      <c r="E580" s="138"/>
      <c r="F580" s="138"/>
      <c r="I580" s="58"/>
      <c r="J580" s="58"/>
      <c r="K580" s="59"/>
      <c r="L580" s="59"/>
      <c r="O580" s="58"/>
      <c r="P580" s="59"/>
      <c r="Q580" s="57"/>
      <c r="R580" s="57"/>
      <c r="S580" s="57"/>
      <c r="T580" s="57"/>
      <c r="U580" s="57"/>
    </row>
    <row r="581" spans="5:21" x14ac:dyDescent="0.25">
      <c r="E581" s="138"/>
      <c r="F581" s="138"/>
      <c r="I581" s="58"/>
      <c r="J581" s="58"/>
      <c r="K581" s="59"/>
      <c r="L581" s="59"/>
      <c r="O581" s="58"/>
      <c r="P581" s="59"/>
      <c r="Q581" s="57"/>
      <c r="R581" s="57"/>
      <c r="S581" s="57"/>
      <c r="T581" s="57"/>
      <c r="U581" s="57"/>
    </row>
    <row r="582" spans="5:21" x14ac:dyDescent="0.25">
      <c r="E582" s="138"/>
      <c r="F582" s="138"/>
      <c r="I582" s="58"/>
      <c r="J582" s="58"/>
      <c r="K582" s="59"/>
      <c r="L582" s="59"/>
      <c r="O582" s="58"/>
      <c r="P582" s="59"/>
      <c r="Q582" s="57"/>
      <c r="R582" s="57"/>
      <c r="S582" s="57"/>
      <c r="T582" s="57"/>
      <c r="U582" s="57"/>
    </row>
    <row r="583" spans="5:21" x14ac:dyDescent="0.25">
      <c r="E583" s="138"/>
      <c r="F583" s="138"/>
      <c r="I583" s="58"/>
      <c r="J583" s="58"/>
      <c r="K583" s="59"/>
      <c r="L583" s="59"/>
      <c r="O583" s="58"/>
      <c r="P583" s="59"/>
      <c r="Q583" s="57"/>
      <c r="R583" s="57"/>
      <c r="S583" s="57"/>
      <c r="T583" s="57"/>
      <c r="U583" s="57"/>
    </row>
    <row r="584" spans="5:21" x14ac:dyDescent="0.25">
      <c r="E584" s="138"/>
      <c r="F584" s="138"/>
      <c r="I584" s="58"/>
      <c r="J584" s="58"/>
      <c r="K584" s="59"/>
      <c r="L584" s="59"/>
      <c r="O584" s="58"/>
      <c r="P584" s="59"/>
      <c r="Q584" s="57"/>
      <c r="R584" s="57"/>
      <c r="S584" s="57"/>
      <c r="T584" s="57"/>
      <c r="U584" s="57"/>
    </row>
    <row r="585" spans="5:21" x14ac:dyDescent="0.25">
      <c r="E585" s="138"/>
      <c r="F585" s="138"/>
      <c r="I585" s="58"/>
      <c r="J585" s="58"/>
      <c r="K585" s="59"/>
      <c r="L585" s="59"/>
      <c r="O585" s="58"/>
      <c r="P585" s="59"/>
      <c r="Q585" s="57"/>
      <c r="R585" s="57"/>
      <c r="S585" s="57"/>
      <c r="T585" s="57"/>
      <c r="U585" s="57"/>
    </row>
    <row r="586" spans="5:21" x14ac:dyDescent="0.25">
      <c r="E586" s="138"/>
      <c r="F586" s="138"/>
      <c r="I586" s="58"/>
      <c r="J586" s="58"/>
      <c r="K586" s="59"/>
      <c r="L586" s="59"/>
      <c r="O586" s="58"/>
      <c r="P586" s="59"/>
      <c r="Q586" s="57"/>
      <c r="R586" s="57"/>
      <c r="S586" s="57"/>
      <c r="T586" s="57"/>
      <c r="U586" s="57"/>
    </row>
    <row r="587" spans="5:21" x14ac:dyDescent="0.25">
      <c r="E587" s="138"/>
      <c r="F587" s="138"/>
      <c r="I587" s="58"/>
      <c r="J587" s="58"/>
      <c r="K587" s="59"/>
      <c r="L587" s="59"/>
      <c r="O587" s="58"/>
      <c r="P587" s="59"/>
      <c r="Q587" s="57"/>
      <c r="R587" s="57"/>
      <c r="S587" s="57"/>
      <c r="T587" s="57"/>
      <c r="U587" s="57"/>
    </row>
    <row r="588" spans="5:21" x14ac:dyDescent="0.25">
      <c r="E588" s="138"/>
      <c r="F588" s="138"/>
      <c r="I588" s="58"/>
      <c r="J588" s="58"/>
      <c r="K588" s="59"/>
      <c r="L588" s="59"/>
      <c r="O588" s="58"/>
      <c r="P588" s="59"/>
      <c r="Q588" s="57"/>
      <c r="R588" s="57"/>
      <c r="S588" s="57"/>
      <c r="T588" s="57"/>
      <c r="U588" s="57"/>
    </row>
    <row r="589" spans="5:21" x14ac:dyDescent="0.25">
      <c r="E589" s="138"/>
      <c r="F589" s="138"/>
      <c r="I589" s="58"/>
      <c r="J589" s="58"/>
      <c r="K589" s="59"/>
      <c r="L589" s="59"/>
      <c r="O589" s="58"/>
      <c r="P589" s="59"/>
      <c r="Q589" s="57"/>
      <c r="R589" s="57"/>
      <c r="S589" s="57"/>
      <c r="T589" s="57"/>
      <c r="U589" s="57"/>
    </row>
    <row r="590" spans="5:21" x14ac:dyDescent="0.25">
      <c r="E590" s="138"/>
      <c r="F590" s="138"/>
      <c r="I590" s="58"/>
      <c r="J590" s="58"/>
      <c r="K590" s="59"/>
      <c r="L590" s="59"/>
      <c r="O590" s="58"/>
      <c r="P590" s="59"/>
      <c r="Q590" s="57"/>
      <c r="R590" s="57"/>
      <c r="S590" s="57"/>
      <c r="T590" s="57"/>
      <c r="U590" s="57"/>
    </row>
    <row r="591" spans="5:21" x14ac:dyDescent="0.25">
      <c r="E591" s="138"/>
      <c r="F591" s="138"/>
      <c r="I591" s="58"/>
      <c r="J591" s="58"/>
      <c r="K591" s="59"/>
      <c r="L591" s="59"/>
      <c r="O591" s="58"/>
      <c r="P591" s="59"/>
      <c r="Q591" s="57"/>
      <c r="R591" s="57"/>
      <c r="S591" s="57"/>
      <c r="T591" s="57"/>
      <c r="U591" s="57"/>
    </row>
    <row r="592" spans="5:21" x14ac:dyDescent="0.25">
      <c r="E592" s="138"/>
      <c r="F592" s="138"/>
      <c r="I592" s="58"/>
      <c r="J592" s="58"/>
      <c r="K592" s="59"/>
      <c r="L592" s="59"/>
      <c r="O592" s="58"/>
      <c r="P592" s="59"/>
      <c r="Q592" s="57"/>
      <c r="R592" s="57"/>
      <c r="S592" s="57"/>
      <c r="T592" s="57"/>
      <c r="U592" s="57"/>
    </row>
    <row r="593" spans="5:21" x14ac:dyDescent="0.25">
      <c r="E593" s="138"/>
      <c r="F593" s="138"/>
      <c r="I593" s="58"/>
      <c r="J593" s="58"/>
      <c r="K593" s="59"/>
      <c r="L593" s="59"/>
      <c r="O593" s="58"/>
      <c r="P593" s="59"/>
      <c r="Q593" s="57"/>
      <c r="R593" s="57"/>
      <c r="S593" s="57"/>
      <c r="T593" s="57"/>
      <c r="U593" s="57"/>
    </row>
    <row r="594" spans="5:21" x14ac:dyDescent="0.25">
      <c r="E594" s="138"/>
      <c r="F594" s="138"/>
      <c r="I594" s="58"/>
      <c r="J594" s="58"/>
      <c r="K594" s="59"/>
      <c r="L594" s="59"/>
      <c r="O594" s="58"/>
      <c r="P594" s="59"/>
      <c r="Q594" s="57"/>
      <c r="R594" s="57"/>
      <c r="S594" s="57"/>
      <c r="T594" s="57"/>
      <c r="U594" s="57"/>
    </row>
    <row r="595" spans="5:21" x14ac:dyDescent="0.25">
      <c r="E595" s="138"/>
      <c r="F595" s="138"/>
      <c r="I595" s="58"/>
      <c r="J595" s="58"/>
      <c r="K595" s="59"/>
      <c r="L595" s="59"/>
      <c r="O595" s="58"/>
      <c r="P595" s="59"/>
      <c r="Q595" s="57"/>
      <c r="R595" s="57"/>
      <c r="S595" s="57"/>
      <c r="T595" s="57"/>
      <c r="U595" s="57"/>
    </row>
    <row r="596" spans="5:21" x14ac:dyDescent="0.25">
      <c r="E596" s="138"/>
      <c r="F596" s="138"/>
      <c r="I596" s="58"/>
      <c r="J596" s="58"/>
      <c r="K596" s="59"/>
      <c r="L596" s="59"/>
      <c r="O596" s="58"/>
      <c r="P596" s="59"/>
      <c r="Q596" s="57"/>
      <c r="R596" s="57"/>
      <c r="S596" s="57"/>
      <c r="T596" s="57"/>
      <c r="U596" s="57"/>
    </row>
    <row r="597" spans="5:21" x14ac:dyDescent="0.25">
      <c r="E597" s="138"/>
      <c r="F597" s="138"/>
      <c r="I597" s="58"/>
      <c r="J597" s="58"/>
      <c r="K597" s="59"/>
      <c r="L597" s="59"/>
      <c r="O597" s="58"/>
      <c r="P597" s="59"/>
      <c r="Q597" s="57"/>
      <c r="R597" s="57"/>
      <c r="S597" s="57"/>
      <c r="T597" s="57"/>
      <c r="U597" s="57"/>
    </row>
    <row r="598" spans="5:21" x14ac:dyDescent="0.25">
      <c r="E598" s="138"/>
      <c r="F598" s="138"/>
      <c r="I598" s="58"/>
      <c r="J598" s="58"/>
      <c r="K598" s="59"/>
      <c r="L598" s="59"/>
      <c r="O598" s="58"/>
      <c r="P598" s="59"/>
      <c r="Q598" s="57"/>
      <c r="R598" s="57"/>
      <c r="S598" s="57"/>
      <c r="T598" s="57"/>
      <c r="U598" s="57"/>
    </row>
    <row r="599" spans="5:21" x14ac:dyDescent="0.25">
      <c r="E599" s="138"/>
      <c r="F599" s="138"/>
      <c r="I599" s="58"/>
      <c r="J599" s="58"/>
      <c r="K599" s="59"/>
      <c r="L599" s="59"/>
      <c r="O599" s="58"/>
      <c r="P599" s="59"/>
      <c r="Q599" s="57"/>
      <c r="R599" s="57"/>
      <c r="S599" s="57"/>
      <c r="T599" s="57"/>
      <c r="U599" s="57"/>
    </row>
    <row r="600" spans="5:21" x14ac:dyDescent="0.25">
      <c r="E600" s="138"/>
      <c r="F600" s="138"/>
      <c r="I600" s="58"/>
      <c r="J600" s="58"/>
      <c r="K600" s="59"/>
      <c r="L600" s="59"/>
      <c r="O600" s="58"/>
      <c r="P600" s="59"/>
      <c r="Q600" s="57"/>
      <c r="R600" s="57"/>
      <c r="S600" s="57"/>
      <c r="T600" s="57"/>
      <c r="U600" s="57"/>
    </row>
    <row r="601" spans="5:21" x14ac:dyDescent="0.25">
      <c r="E601" s="138"/>
      <c r="F601" s="138"/>
      <c r="I601" s="58"/>
      <c r="J601" s="58"/>
      <c r="K601" s="59"/>
      <c r="L601" s="59"/>
      <c r="O601" s="58"/>
      <c r="P601" s="59"/>
      <c r="Q601" s="57"/>
      <c r="R601" s="57"/>
      <c r="S601" s="57"/>
      <c r="T601" s="57"/>
      <c r="U601" s="57"/>
    </row>
    <row r="602" spans="5:21" x14ac:dyDescent="0.25">
      <c r="E602" s="138"/>
      <c r="F602" s="138"/>
      <c r="I602" s="58"/>
      <c r="J602" s="58"/>
      <c r="K602" s="59"/>
      <c r="L602" s="59"/>
      <c r="O602" s="58"/>
      <c r="P602" s="59"/>
      <c r="Q602" s="57"/>
      <c r="R602" s="57"/>
      <c r="S602" s="57"/>
      <c r="T602" s="57"/>
      <c r="U602" s="57"/>
    </row>
    <row r="603" spans="5:21" x14ac:dyDescent="0.25">
      <c r="E603" s="138"/>
      <c r="F603" s="138"/>
      <c r="I603" s="58"/>
      <c r="J603" s="58"/>
      <c r="K603" s="59"/>
      <c r="L603" s="59"/>
      <c r="O603" s="58"/>
      <c r="P603" s="59"/>
      <c r="Q603" s="57"/>
      <c r="R603" s="57"/>
      <c r="S603" s="57"/>
      <c r="T603" s="57"/>
      <c r="U603" s="57"/>
    </row>
    <row r="604" spans="5:21" x14ac:dyDescent="0.25">
      <c r="E604" s="138"/>
      <c r="F604" s="138"/>
      <c r="I604" s="58"/>
      <c r="J604" s="58"/>
      <c r="K604" s="59"/>
      <c r="L604" s="59"/>
      <c r="O604" s="58"/>
      <c r="P604" s="59"/>
      <c r="Q604" s="57"/>
      <c r="R604" s="57"/>
      <c r="S604" s="57"/>
      <c r="T604" s="57"/>
      <c r="U604" s="57"/>
    </row>
    <row r="605" spans="5:21" x14ac:dyDescent="0.25">
      <c r="E605" s="138"/>
      <c r="F605" s="138"/>
      <c r="I605" s="58"/>
      <c r="J605" s="58"/>
      <c r="K605" s="59"/>
      <c r="L605" s="59"/>
      <c r="O605" s="58"/>
      <c r="P605" s="59"/>
      <c r="Q605" s="57"/>
      <c r="R605" s="57"/>
      <c r="S605" s="57"/>
      <c r="T605" s="57"/>
      <c r="U605" s="57"/>
    </row>
    <row r="606" spans="5:21" x14ac:dyDescent="0.25">
      <c r="E606" s="138"/>
      <c r="F606" s="138"/>
      <c r="I606" s="58"/>
      <c r="J606" s="58"/>
      <c r="K606" s="59"/>
      <c r="L606" s="59"/>
      <c r="O606" s="58"/>
      <c r="P606" s="59"/>
      <c r="Q606" s="57"/>
      <c r="R606" s="57"/>
      <c r="S606" s="57"/>
      <c r="T606" s="57"/>
      <c r="U606" s="57"/>
    </row>
    <row r="607" spans="5:21" x14ac:dyDescent="0.25">
      <c r="E607" s="138"/>
      <c r="F607" s="138"/>
      <c r="I607" s="58"/>
      <c r="J607" s="58"/>
      <c r="K607" s="59"/>
      <c r="L607" s="59"/>
      <c r="O607" s="58"/>
      <c r="P607" s="59"/>
      <c r="Q607" s="57"/>
      <c r="R607" s="57"/>
      <c r="S607" s="57"/>
      <c r="T607" s="57"/>
      <c r="U607" s="57"/>
    </row>
    <row r="608" spans="5:21" x14ac:dyDescent="0.25">
      <c r="E608" s="138"/>
      <c r="F608" s="138"/>
      <c r="I608" s="58"/>
      <c r="J608" s="58"/>
      <c r="K608" s="59"/>
      <c r="L608" s="59"/>
      <c r="O608" s="58"/>
      <c r="P608" s="59"/>
      <c r="Q608" s="57"/>
      <c r="R608" s="57"/>
      <c r="S608" s="57"/>
      <c r="T608" s="57"/>
      <c r="U608" s="57"/>
    </row>
    <row r="609" spans="5:21" x14ac:dyDescent="0.25">
      <c r="E609" s="138"/>
      <c r="F609" s="138"/>
      <c r="I609" s="58"/>
      <c r="J609" s="58"/>
      <c r="K609" s="59"/>
      <c r="L609" s="59"/>
      <c r="O609" s="58"/>
      <c r="P609" s="59"/>
      <c r="Q609" s="57"/>
      <c r="R609" s="57"/>
      <c r="S609" s="57"/>
      <c r="T609" s="57"/>
      <c r="U609" s="57"/>
    </row>
    <row r="610" spans="5:21" x14ac:dyDescent="0.25">
      <c r="E610" s="138"/>
      <c r="F610" s="138"/>
      <c r="I610" s="58"/>
      <c r="J610" s="58"/>
      <c r="K610" s="59"/>
      <c r="L610" s="59"/>
      <c r="O610" s="58"/>
      <c r="P610" s="59"/>
      <c r="Q610" s="57"/>
      <c r="R610" s="57"/>
      <c r="S610" s="57"/>
      <c r="T610" s="57"/>
      <c r="U610" s="57"/>
    </row>
    <row r="611" spans="5:21" x14ac:dyDescent="0.25">
      <c r="E611" s="138"/>
      <c r="F611" s="138"/>
      <c r="I611" s="58"/>
      <c r="J611" s="58"/>
      <c r="K611" s="59"/>
      <c r="L611" s="59"/>
      <c r="O611" s="58"/>
      <c r="P611" s="59"/>
      <c r="Q611" s="57"/>
      <c r="R611" s="57"/>
      <c r="S611" s="57"/>
      <c r="T611" s="57"/>
      <c r="U611" s="57"/>
    </row>
    <row r="612" spans="5:21" x14ac:dyDescent="0.25">
      <c r="E612" s="138"/>
      <c r="F612" s="138"/>
      <c r="I612" s="58"/>
      <c r="J612" s="58"/>
      <c r="K612" s="59"/>
      <c r="L612" s="59"/>
      <c r="O612" s="58"/>
      <c r="P612" s="59"/>
      <c r="Q612" s="57"/>
      <c r="R612" s="57"/>
      <c r="S612" s="57"/>
      <c r="T612" s="57"/>
      <c r="U612" s="57"/>
    </row>
    <row r="613" spans="5:21" x14ac:dyDescent="0.25">
      <c r="E613" s="138"/>
      <c r="F613" s="138"/>
      <c r="I613" s="58"/>
      <c r="J613" s="58"/>
      <c r="K613" s="59"/>
      <c r="L613" s="59"/>
      <c r="O613" s="58"/>
      <c r="P613" s="59"/>
      <c r="Q613" s="57"/>
      <c r="R613" s="57"/>
      <c r="S613" s="57"/>
      <c r="T613" s="57"/>
      <c r="U613" s="57"/>
    </row>
    <row r="614" spans="5:21" x14ac:dyDescent="0.25">
      <c r="E614" s="138"/>
      <c r="F614" s="138"/>
      <c r="I614" s="58"/>
      <c r="J614" s="58"/>
      <c r="K614" s="59"/>
      <c r="L614" s="59"/>
      <c r="O614" s="58"/>
      <c r="P614" s="59"/>
      <c r="Q614" s="57"/>
      <c r="R614" s="57"/>
      <c r="S614" s="57"/>
      <c r="T614" s="57"/>
      <c r="U614" s="57"/>
    </row>
    <row r="615" spans="5:21" x14ac:dyDescent="0.25">
      <c r="E615" s="138"/>
      <c r="F615" s="138"/>
      <c r="I615" s="58"/>
      <c r="J615" s="58"/>
      <c r="K615" s="59"/>
      <c r="L615" s="59"/>
      <c r="O615" s="58"/>
      <c r="P615" s="59"/>
      <c r="Q615" s="57"/>
      <c r="R615" s="57"/>
      <c r="S615" s="57"/>
      <c r="T615" s="57"/>
      <c r="U615" s="57"/>
    </row>
    <row r="616" spans="5:21" x14ac:dyDescent="0.25">
      <c r="E616" s="138"/>
      <c r="F616" s="138"/>
      <c r="I616" s="58"/>
      <c r="J616" s="58"/>
      <c r="K616" s="59"/>
      <c r="L616" s="59"/>
      <c r="O616" s="58"/>
      <c r="P616" s="59"/>
      <c r="Q616" s="57"/>
      <c r="R616" s="57"/>
      <c r="S616" s="57"/>
      <c r="T616" s="57"/>
      <c r="U616" s="57"/>
    </row>
    <row r="617" spans="5:21" x14ac:dyDescent="0.25">
      <c r="E617" s="138"/>
      <c r="F617" s="138"/>
      <c r="I617" s="58"/>
      <c r="J617" s="58"/>
      <c r="K617" s="59"/>
      <c r="L617" s="59"/>
      <c r="O617" s="58"/>
      <c r="P617" s="59"/>
      <c r="Q617" s="57"/>
      <c r="R617" s="57"/>
      <c r="S617" s="57"/>
      <c r="T617" s="57"/>
      <c r="U617" s="57"/>
    </row>
    <row r="618" spans="5:21" x14ac:dyDescent="0.25">
      <c r="E618" s="138"/>
      <c r="F618" s="138"/>
      <c r="I618" s="58"/>
      <c r="J618" s="58"/>
      <c r="K618" s="59"/>
      <c r="L618" s="59"/>
      <c r="O618" s="58"/>
      <c r="P618" s="59"/>
      <c r="Q618" s="57"/>
      <c r="R618" s="57"/>
      <c r="S618" s="57"/>
      <c r="T618" s="57"/>
      <c r="U618" s="57"/>
    </row>
    <row r="619" spans="5:21" x14ac:dyDescent="0.25">
      <c r="E619" s="138"/>
      <c r="F619" s="138"/>
      <c r="I619" s="58"/>
      <c r="J619" s="58"/>
      <c r="K619" s="59"/>
      <c r="L619" s="59"/>
      <c r="O619" s="58"/>
      <c r="P619" s="59"/>
      <c r="Q619" s="57"/>
      <c r="R619" s="57"/>
      <c r="S619" s="57"/>
      <c r="T619" s="57"/>
      <c r="U619" s="57"/>
    </row>
    <row r="620" spans="5:21" x14ac:dyDescent="0.25">
      <c r="E620" s="138"/>
      <c r="F620" s="138"/>
      <c r="I620" s="58"/>
      <c r="J620" s="58"/>
      <c r="K620" s="59"/>
      <c r="L620" s="59"/>
      <c r="O620" s="58"/>
      <c r="P620" s="59"/>
      <c r="Q620" s="57"/>
      <c r="R620" s="57"/>
      <c r="S620" s="57"/>
      <c r="T620" s="57"/>
      <c r="U620" s="57"/>
    </row>
    <row r="621" spans="5:21" x14ac:dyDescent="0.25">
      <c r="E621" s="138"/>
      <c r="F621" s="138"/>
      <c r="I621" s="58"/>
      <c r="J621" s="58"/>
      <c r="K621" s="59"/>
      <c r="L621" s="59"/>
      <c r="O621" s="58"/>
      <c r="P621" s="59"/>
      <c r="Q621" s="57"/>
      <c r="R621" s="57"/>
      <c r="S621" s="57"/>
      <c r="T621" s="57"/>
      <c r="U621" s="57"/>
    </row>
    <row r="622" spans="5:21" x14ac:dyDescent="0.25">
      <c r="E622" s="138"/>
      <c r="F622" s="138"/>
      <c r="I622" s="58"/>
      <c r="J622" s="58"/>
      <c r="K622" s="59"/>
      <c r="L622" s="59"/>
      <c r="O622" s="58"/>
      <c r="P622" s="59"/>
      <c r="Q622" s="57"/>
      <c r="R622" s="57"/>
      <c r="S622" s="57"/>
      <c r="T622" s="57"/>
      <c r="U622" s="57"/>
    </row>
    <row r="623" spans="5:21" x14ac:dyDescent="0.25">
      <c r="E623" s="138"/>
      <c r="F623" s="138"/>
      <c r="I623" s="58"/>
      <c r="J623" s="58"/>
      <c r="K623" s="59"/>
      <c r="L623" s="59"/>
      <c r="O623" s="58"/>
      <c r="P623" s="59"/>
      <c r="Q623" s="57"/>
      <c r="R623" s="57"/>
      <c r="S623" s="57"/>
      <c r="T623" s="57"/>
      <c r="U623" s="57"/>
    </row>
    <row r="624" spans="5:21" x14ac:dyDescent="0.25">
      <c r="E624" s="138"/>
      <c r="F624" s="138"/>
      <c r="I624" s="58"/>
      <c r="J624" s="58"/>
      <c r="K624" s="59"/>
      <c r="L624" s="59"/>
      <c r="O624" s="58"/>
      <c r="P624" s="59"/>
      <c r="Q624" s="57"/>
      <c r="R624" s="57"/>
      <c r="S624" s="57"/>
      <c r="T624" s="57"/>
      <c r="U624" s="57"/>
    </row>
    <row r="625" spans="5:21" x14ac:dyDescent="0.25">
      <c r="E625" s="138"/>
      <c r="F625" s="138"/>
      <c r="I625" s="58"/>
      <c r="J625" s="58"/>
      <c r="K625" s="59"/>
      <c r="L625" s="59"/>
      <c r="O625" s="58"/>
      <c r="P625" s="59"/>
      <c r="Q625" s="57"/>
      <c r="R625" s="57"/>
      <c r="S625" s="57"/>
      <c r="T625" s="57"/>
      <c r="U625" s="57"/>
    </row>
    <row r="626" spans="5:21" x14ac:dyDescent="0.25">
      <c r="E626" s="138"/>
      <c r="F626" s="138"/>
      <c r="I626" s="58"/>
      <c r="J626" s="58"/>
      <c r="K626" s="59"/>
      <c r="L626" s="59"/>
      <c r="O626" s="58"/>
      <c r="P626" s="59"/>
      <c r="Q626" s="57"/>
      <c r="R626" s="57"/>
      <c r="S626" s="57"/>
      <c r="T626" s="57"/>
      <c r="U626" s="57"/>
    </row>
    <row r="627" spans="5:21" x14ac:dyDescent="0.25">
      <c r="E627" s="138"/>
      <c r="F627" s="138"/>
      <c r="I627" s="58"/>
      <c r="J627" s="58"/>
      <c r="K627" s="59"/>
      <c r="L627" s="59"/>
      <c r="O627" s="58"/>
      <c r="P627" s="59"/>
      <c r="Q627" s="57"/>
      <c r="R627" s="57"/>
      <c r="S627" s="57"/>
      <c r="T627" s="57"/>
      <c r="U627" s="57"/>
    </row>
    <row r="628" spans="5:21" x14ac:dyDescent="0.25">
      <c r="E628" s="138"/>
      <c r="F628" s="138"/>
      <c r="I628" s="58"/>
      <c r="J628" s="58"/>
      <c r="K628" s="59"/>
      <c r="L628" s="59"/>
      <c r="O628" s="58"/>
      <c r="P628" s="59"/>
      <c r="Q628" s="57"/>
      <c r="R628" s="57"/>
      <c r="S628" s="57"/>
      <c r="T628" s="57"/>
      <c r="U628" s="57"/>
    </row>
    <row r="629" spans="5:21" x14ac:dyDescent="0.25">
      <c r="E629" s="138"/>
      <c r="F629" s="138"/>
      <c r="I629" s="58"/>
      <c r="J629" s="58"/>
      <c r="K629" s="59"/>
      <c r="L629" s="59"/>
      <c r="O629" s="58"/>
      <c r="P629" s="59"/>
      <c r="Q629" s="57"/>
      <c r="R629" s="57"/>
      <c r="S629" s="57"/>
      <c r="T629" s="57"/>
      <c r="U629" s="57"/>
    </row>
    <row r="630" spans="5:21" x14ac:dyDescent="0.25">
      <c r="E630" s="138"/>
      <c r="F630" s="138"/>
      <c r="I630" s="58"/>
      <c r="J630" s="58"/>
      <c r="K630" s="59"/>
      <c r="L630" s="59"/>
      <c r="O630" s="58"/>
      <c r="P630" s="59"/>
      <c r="Q630" s="57"/>
      <c r="R630" s="57"/>
      <c r="S630" s="57"/>
      <c r="T630" s="57"/>
      <c r="U630" s="57"/>
    </row>
    <row r="631" spans="5:21" x14ac:dyDescent="0.25">
      <c r="E631" s="138"/>
      <c r="F631" s="138"/>
      <c r="I631" s="58"/>
      <c r="J631" s="58"/>
      <c r="K631" s="59"/>
      <c r="L631" s="59"/>
      <c r="O631" s="58"/>
      <c r="P631" s="59"/>
      <c r="Q631" s="57"/>
      <c r="R631" s="57"/>
      <c r="S631" s="57"/>
      <c r="T631" s="57"/>
      <c r="U631" s="57"/>
    </row>
    <row r="632" spans="5:21" x14ac:dyDescent="0.25">
      <c r="E632" s="138"/>
      <c r="F632" s="138"/>
      <c r="I632" s="58"/>
      <c r="J632" s="58"/>
      <c r="K632" s="59"/>
      <c r="L632" s="59"/>
      <c r="O632" s="58"/>
      <c r="P632" s="59"/>
      <c r="Q632" s="57"/>
      <c r="R632" s="57"/>
      <c r="S632" s="57"/>
      <c r="T632" s="57"/>
      <c r="U632" s="57"/>
    </row>
    <row r="633" spans="5:21" x14ac:dyDescent="0.25">
      <c r="E633" s="138"/>
      <c r="F633" s="138"/>
      <c r="I633" s="58"/>
      <c r="J633" s="58"/>
      <c r="K633" s="59"/>
      <c r="L633" s="59"/>
      <c r="O633" s="58"/>
      <c r="P633" s="59"/>
      <c r="Q633" s="57"/>
      <c r="R633" s="57"/>
      <c r="S633" s="57"/>
      <c r="T633" s="57"/>
      <c r="U633" s="57"/>
    </row>
    <row r="634" spans="5:21" x14ac:dyDescent="0.25">
      <c r="E634" s="138"/>
      <c r="F634" s="138"/>
      <c r="I634" s="58"/>
      <c r="J634" s="58"/>
      <c r="K634" s="59"/>
      <c r="L634" s="59"/>
      <c r="O634" s="58"/>
      <c r="P634" s="59"/>
      <c r="Q634" s="57"/>
      <c r="R634" s="57"/>
      <c r="S634" s="57"/>
      <c r="T634" s="57"/>
      <c r="U634" s="57"/>
    </row>
    <row r="635" spans="5:21" x14ac:dyDescent="0.25">
      <c r="E635" s="138"/>
      <c r="F635" s="138"/>
      <c r="I635" s="58"/>
      <c r="J635" s="58"/>
      <c r="K635" s="59"/>
      <c r="L635" s="59"/>
      <c r="O635" s="58"/>
      <c r="P635" s="59"/>
      <c r="Q635" s="57"/>
      <c r="R635" s="57"/>
      <c r="S635" s="57"/>
      <c r="T635" s="57"/>
      <c r="U635" s="57"/>
    </row>
    <row r="636" spans="5:21" x14ac:dyDescent="0.25">
      <c r="E636" s="138"/>
      <c r="F636" s="138"/>
      <c r="I636" s="58"/>
      <c r="J636" s="58"/>
      <c r="K636" s="59"/>
      <c r="L636" s="59"/>
      <c r="O636" s="58"/>
      <c r="P636" s="59"/>
      <c r="Q636" s="57"/>
      <c r="R636" s="57"/>
      <c r="S636" s="57"/>
      <c r="T636" s="57"/>
      <c r="U636" s="57"/>
    </row>
    <row r="637" spans="5:21" x14ac:dyDescent="0.25">
      <c r="E637" s="138"/>
      <c r="F637" s="138"/>
      <c r="I637" s="58"/>
      <c r="J637" s="58"/>
      <c r="K637" s="59"/>
      <c r="L637" s="59"/>
      <c r="O637" s="58"/>
      <c r="P637" s="59"/>
      <c r="Q637" s="57"/>
      <c r="R637" s="57"/>
      <c r="S637" s="57"/>
      <c r="T637" s="57"/>
      <c r="U637" s="57"/>
    </row>
    <row r="638" spans="5:21" x14ac:dyDescent="0.25">
      <c r="E638" s="138"/>
      <c r="F638" s="138"/>
      <c r="I638" s="58"/>
      <c r="J638" s="58"/>
      <c r="K638" s="59"/>
      <c r="L638" s="59"/>
      <c r="O638" s="58"/>
      <c r="P638" s="59"/>
      <c r="Q638" s="57"/>
      <c r="R638" s="57"/>
      <c r="S638" s="57"/>
      <c r="T638" s="57"/>
      <c r="U638" s="57"/>
    </row>
    <row r="639" spans="5:21" x14ac:dyDescent="0.25">
      <c r="E639" s="138"/>
      <c r="F639" s="138"/>
      <c r="I639" s="58"/>
      <c r="J639" s="58"/>
      <c r="K639" s="59"/>
      <c r="L639" s="59"/>
      <c r="O639" s="58"/>
      <c r="P639" s="59"/>
      <c r="Q639" s="57"/>
      <c r="R639" s="57"/>
      <c r="S639" s="57"/>
      <c r="T639" s="57"/>
      <c r="U639" s="57"/>
    </row>
    <row r="640" spans="5:21" x14ac:dyDescent="0.25">
      <c r="E640" s="138"/>
      <c r="F640" s="138"/>
      <c r="I640" s="58"/>
      <c r="J640" s="58"/>
      <c r="K640" s="59"/>
      <c r="L640" s="59"/>
      <c r="O640" s="58"/>
      <c r="P640" s="59"/>
      <c r="Q640" s="57"/>
      <c r="R640" s="57"/>
      <c r="S640" s="57"/>
      <c r="T640" s="57"/>
      <c r="U640" s="57"/>
    </row>
    <row r="641" spans="5:21" x14ac:dyDescent="0.25">
      <c r="E641" s="138"/>
      <c r="F641" s="138"/>
      <c r="I641" s="58"/>
      <c r="J641" s="58"/>
      <c r="K641" s="59"/>
      <c r="L641" s="59"/>
      <c r="O641" s="58"/>
      <c r="P641" s="59"/>
      <c r="Q641" s="57"/>
      <c r="R641" s="57"/>
      <c r="S641" s="57"/>
      <c r="T641" s="57"/>
      <c r="U641" s="57"/>
    </row>
    <row r="642" spans="5:21" x14ac:dyDescent="0.25">
      <c r="E642" s="138"/>
      <c r="F642" s="138"/>
      <c r="I642" s="58"/>
      <c r="J642" s="58"/>
      <c r="K642" s="59"/>
      <c r="L642" s="59"/>
      <c r="O642" s="58"/>
      <c r="P642" s="59"/>
      <c r="Q642" s="57"/>
      <c r="R642" s="57"/>
      <c r="S642" s="57"/>
      <c r="T642" s="57"/>
      <c r="U642" s="57"/>
    </row>
    <row r="643" spans="5:21" x14ac:dyDescent="0.25">
      <c r="E643" s="138"/>
      <c r="F643" s="138"/>
      <c r="I643" s="58"/>
      <c r="J643" s="58"/>
      <c r="K643" s="59"/>
      <c r="L643" s="59"/>
      <c r="O643" s="58"/>
      <c r="P643" s="59"/>
      <c r="Q643" s="57"/>
      <c r="R643" s="57"/>
      <c r="S643" s="57"/>
      <c r="T643" s="57"/>
      <c r="U643" s="57"/>
    </row>
    <row r="644" spans="5:21" x14ac:dyDescent="0.25">
      <c r="E644" s="138"/>
      <c r="F644" s="138"/>
      <c r="I644" s="58"/>
      <c r="J644" s="58"/>
      <c r="K644" s="59"/>
      <c r="L644" s="59"/>
      <c r="O644" s="58"/>
      <c r="P644" s="59"/>
      <c r="Q644" s="57"/>
      <c r="R644" s="57"/>
      <c r="S644" s="57"/>
      <c r="T644" s="57"/>
      <c r="U644" s="57"/>
    </row>
    <row r="645" spans="5:21" x14ac:dyDescent="0.25">
      <c r="E645" s="138"/>
      <c r="F645" s="138"/>
      <c r="I645" s="58"/>
      <c r="J645" s="58"/>
      <c r="K645" s="59"/>
      <c r="L645" s="59"/>
      <c r="O645" s="58"/>
      <c r="P645" s="59"/>
      <c r="Q645" s="57"/>
      <c r="R645" s="57"/>
      <c r="S645" s="57"/>
      <c r="T645" s="57"/>
      <c r="U645" s="57"/>
    </row>
    <row r="646" spans="5:21" x14ac:dyDescent="0.25">
      <c r="E646" s="138"/>
      <c r="F646" s="138"/>
      <c r="I646" s="58"/>
      <c r="J646" s="58"/>
      <c r="K646" s="59"/>
      <c r="L646" s="59"/>
      <c r="O646" s="58"/>
      <c r="P646" s="59"/>
      <c r="Q646" s="57"/>
      <c r="R646" s="57"/>
      <c r="S646" s="57"/>
      <c r="T646" s="57"/>
      <c r="U646" s="57"/>
    </row>
    <row r="647" spans="5:21" x14ac:dyDescent="0.25">
      <c r="E647" s="138"/>
      <c r="F647" s="138"/>
      <c r="I647" s="58"/>
      <c r="J647" s="58"/>
      <c r="K647" s="59"/>
      <c r="L647" s="59"/>
      <c r="O647" s="58"/>
      <c r="P647" s="59"/>
      <c r="Q647" s="57"/>
      <c r="R647" s="57"/>
      <c r="S647" s="57"/>
      <c r="T647" s="57"/>
      <c r="U647" s="57"/>
    </row>
    <row r="648" spans="5:21" x14ac:dyDescent="0.25">
      <c r="E648" s="138"/>
      <c r="F648" s="138"/>
      <c r="I648" s="58"/>
      <c r="J648" s="58"/>
      <c r="K648" s="59"/>
      <c r="L648" s="59"/>
      <c r="O648" s="58"/>
      <c r="P648" s="59"/>
      <c r="Q648" s="57"/>
      <c r="R648" s="57"/>
      <c r="S648" s="57"/>
      <c r="T648" s="57"/>
      <c r="U648" s="57"/>
    </row>
    <row r="649" spans="5:21" x14ac:dyDescent="0.25">
      <c r="E649" s="138"/>
      <c r="F649" s="138"/>
      <c r="I649" s="58"/>
      <c r="J649" s="58"/>
      <c r="K649" s="59"/>
      <c r="L649" s="59"/>
      <c r="O649" s="58"/>
      <c r="P649" s="59"/>
      <c r="Q649" s="57"/>
      <c r="R649" s="57"/>
      <c r="S649" s="57"/>
      <c r="T649" s="57"/>
      <c r="U649" s="57"/>
    </row>
    <row r="650" spans="5:21" x14ac:dyDescent="0.25">
      <c r="E650" s="138"/>
      <c r="F650" s="138"/>
      <c r="I650" s="58"/>
      <c r="J650" s="58"/>
      <c r="K650" s="59"/>
      <c r="L650" s="59"/>
      <c r="O650" s="58"/>
      <c r="P650" s="59"/>
      <c r="Q650" s="57"/>
      <c r="R650" s="57"/>
      <c r="S650" s="57"/>
      <c r="T650" s="57"/>
      <c r="U650" s="57"/>
    </row>
    <row r="651" spans="5:21" x14ac:dyDescent="0.25">
      <c r="E651" s="138"/>
      <c r="F651" s="138"/>
      <c r="I651" s="58"/>
      <c r="J651" s="58"/>
      <c r="K651" s="59"/>
      <c r="L651" s="59"/>
      <c r="O651" s="58"/>
      <c r="P651" s="59"/>
      <c r="Q651" s="57"/>
      <c r="R651" s="57"/>
      <c r="S651" s="57"/>
      <c r="T651" s="57"/>
      <c r="U651" s="57"/>
    </row>
    <row r="652" spans="5:21" x14ac:dyDescent="0.25">
      <c r="E652" s="138"/>
      <c r="F652" s="138"/>
      <c r="I652" s="58"/>
      <c r="J652" s="58"/>
      <c r="K652" s="59"/>
      <c r="L652" s="59"/>
      <c r="O652" s="58"/>
      <c r="P652" s="59"/>
      <c r="Q652" s="57"/>
      <c r="R652" s="57"/>
      <c r="S652" s="57"/>
      <c r="T652" s="57"/>
      <c r="U652" s="57"/>
    </row>
    <row r="653" spans="5:21" x14ac:dyDescent="0.25">
      <c r="E653" s="138"/>
      <c r="F653" s="138"/>
      <c r="I653" s="58"/>
      <c r="J653" s="58"/>
      <c r="K653" s="59"/>
      <c r="L653" s="59"/>
      <c r="O653" s="58"/>
      <c r="P653" s="59"/>
      <c r="Q653" s="57"/>
      <c r="R653" s="57"/>
      <c r="S653" s="57"/>
      <c r="T653" s="57"/>
      <c r="U653" s="57"/>
    </row>
    <row r="654" spans="5:21" x14ac:dyDescent="0.25">
      <c r="E654" s="138"/>
      <c r="F654" s="138"/>
      <c r="I654" s="58"/>
      <c r="J654" s="58"/>
      <c r="K654" s="59"/>
      <c r="L654" s="59"/>
      <c r="O654" s="58"/>
      <c r="P654" s="59"/>
      <c r="Q654" s="57"/>
      <c r="R654" s="57"/>
      <c r="S654" s="57"/>
      <c r="T654" s="57"/>
      <c r="U654" s="57"/>
    </row>
    <row r="655" spans="5:21" x14ac:dyDescent="0.25">
      <c r="E655" s="138"/>
      <c r="F655" s="138"/>
      <c r="I655" s="58"/>
      <c r="J655" s="58"/>
      <c r="K655" s="59"/>
      <c r="L655" s="59"/>
      <c r="O655" s="58"/>
      <c r="P655" s="59"/>
      <c r="Q655" s="57"/>
      <c r="R655" s="57"/>
      <c r="S655" s="57"/>
      <c r="T655" s="57"/>
      <c r="U655" s="57"/>
    </row>
    <row r="656" spans="5:21" x14ac:dyDescent="0.25">
      <c r="E656" s="138"/>
      <c r="F656" s="138"/>
      <c r="I656" s="58"/>
      <c r="J656" s="58"/>
      <c r="K656" s="59"/>
      <c r="L656" s="59"/>
      <c r="O656" s="58"/>
      <c r="P656" s="59"/>
      <c r="Q656" s="57"/>
      <c r="R656" s="57"/>
      <c r="S656" s="57"/>
      <c r="T656" s="57"/>
      <c r="U656" s="57"/>
    </row>
    <row r="657" spans="5:21" x14ac:dyDescent="0.25">
      <c r="E657" s="138"/>
      <c r="F657" s="138"/>
      <c r="I657" s="58"/>
      <c r="J657" s="58"/>
      <c r="K657" s="59"/>
      <c r="L657" s="59"/>
      <c r="O657" s="58"/>
      <c r="P657" s="59"/>
      <c r="Q657" s="57"/>
      <c r="R657" s="57"/>
      <c r="S657" s="57"/>
      <c r="T657" s="57"/>
      <c r="U657" s="57"/>
    </row>
    <row r="658" spans="5:21" x14ac:dyDescent="0.25">
      <c r="E658" s="138"/>
      <c r="F658" s="138"/>
      <c r="I658" s="58"/>
      <c r="J658" s="58"/>
      <c r="K658" s="59"/>
      <c r="L658" s="59"/>
      <c r="O658" s="58"/>
      <c r="P658" s="59"/>
      <c r="Q658" s="57"/>
      <c r="R658" s="57"/>
      <c r="S658" s="57"/>
      <c r="T658" s="57"/>
      <c r="U658" s="57"/>
    </row>
    <row r="659" spans="5:21" x14ac:dyDescent="0.25">
      <c r="E659" s="138"/>
      <c r="F659" s="138"/>
      <c r="I659" s="58"/>
      <c r="J659" s="58"/>
      <c r="K659" s="59"/>
      <c r="L659" s="59"/>
      <c r="O659" s="58"/>
      <c r="P659" s="59"/>
      <c r="Q659" s="57"/>
      <c r="R659" s="57"/>
      <c r="S659" s="57"/>
      <c r="T659" s="57"/>
      <c r="U659" s="57"/>
    </row>
    <row r="660" spans="5:21" x14ac:dyDescent="0.25">
      <c r="E660" s="138"/>
      <c r="F660" s="138"/>
      <c r="I660" s="58"/>
      <c r="J660" s="58"/>
      <c r="K660" s="59"/>
      <c r="L660" s="59"/>
      <c r="O660" s="58"/>
      <c r="P660" s="59"/>
      <c r="Q660" s="57"/>
      <c r="R660" s="57"/>
      <c r="S660" s="57"/>
      <c r="T660" s="57"/>
      <c r="U660" s="57"/>
    </row>
    <row r="661" spans="5:21" x14ac:dyDescent="0.25">
      <c r="E661" s="138"/>
      <c r="F661" s="138"/>
      <c r="I661" s="58"/>
      <c r="J661" s="58"/>
      <c r="K661" s="59"/>
      <c r="L661" s="59"/>
      <c r="O661" s="58"/>
      <c r="P661" s="59"/>
      <c r="Q661" s="57"/>
      <c r="R661" s="57"/>
      <c r="S661" s="57"/>
      <c r="T661" s="57"/>
      <c r="U661" s="57"/>
    </row>
    <row r="662" spans="5:21" x14ac:dyDescent="0.25">
      <c r="E662" s="138"/>
      <c r="F662" s="138"/>
      <c r="I662" s="58"/>
      <c r="J662" s="58"/>
      <c r="K662" s="59"/>
      <c r="L662" s="59"/>
    </row>
    <row r="663" spans="5:21" x14ac:dyDescent="0.25">
      <c r="E663" s="138"/>
      <c r="F663" s="138"/>
      <c r="I663" s="58"/>
      <c r="J663" s="58"/>
      <c r="K663" s="59"/>
      <c r="L663" s="59"/>
    </row>
    <row r="664" spans="5:21" x14ac:dyDescent="0.25">
      <c r="E664" s="138"/>
      <c r="F664" s="138"/>
      <c r="I664" s="58"/>
      <c r="J664" s="58"/>
      <c r="K664" s="59"/>
      <c r="L664" s="59"/>
    </row>
    <row r="665" spans="5:21" x14ac:dyDescent="0.25">
      <c r="E665" s="138"/>
      <c r="F665" s="138"/>
      <c r="I665" s="58"/>
      <c r="J665" s="58"/>
      <c r="K665" s="59"/>
      <c r="L665" s="59"/>
    </row>
    <row r="666" spans="5:21" x14ac:dyDescent="0.25">
      <c r="E666" s="138"/>
      <c r="F666" s="138"/>
      <c r="I666" s="58"/>
      <c r="J666" s="58"/>
      <c r="K666" s="59"/>
      <c r="L666" s="59"/>
    </row>
    <row r="667" spans="5:21" x14ac:dyDescent="0.25">
      <c r="E667" s="138"/>
      <c r="F667" s="138"/>
      <c r="I667" s="58"/>
      <c r="J667" s="58"/>
      <c r="K667" s="59"/>
      <c r="L667" s="59"/>
    </row>
    <row r="668" spans="5:21" x14ac:dyDescent="0.25">
      <c r="E668" s="138"/>
      <c r="F668" s="138"/>
      <c r="I668" s="58"/>
      <c r="J668" s="58"/>
      <c r="K668" s="59"/>
      <c r="L668" s="59"/>
    </row>
    <row r="669" spans="5:21" x14ac:dyDescent="0.25">
      <c r="E669" s="138"/>
      <c r="F669" s="138"/>
      <c r="I669" s="58"/>
      <c r="J669" s="58"/>
      <c r="K669" s="59"/>
      <c r="L669" s="59"/>
    </row>
    <row r="670" spans="5:21" x14ac:dyDescent="0.25">
      <c r="E670" s="138"/>
      <c r="F670" s="138"/>
      <c r="I670" s="58"/>
      <c r="J670" s="58"/>
      <c r="K670" s="59"/>
      <c r="L670" s="59"/>
    </row>
    <row r="671" spans="5:21" x14ac:dyDescent="0.25">
      <c r="E671" s="138"/>
      <c r="F671" s="138"/>
      <c r="I671" s="58"/>
      <c r="J671" s="58"/>
      <c r="K671" s="59"/>
      <c r="L671" s="59"/>
    </row>
    <row r="672" spans="5:21" x14ac:dyDescent="0.25">
      <c r="E672" s="138"/>
      <c r="F672" s="138"/>
      <c r="I672" s="58"/>
      <c r="J672" s="58"/>
      <c r="K672" s="59"/>
      <c r="L672" s="59"/>
    </row>
    <row r="673" spans="5:12" x14ac:dyDescent="0.25">
      <c r="E673" s="138"/>
      <c r="F673" s="138"/>
      <c r="I673" s="58"/>
      <c r="J673" s="58"/>
      <c r="K673" s="59"/>
      <c r="L673" s="59"/>
    </row>
    <row r="674" spans="5:12" x14ac:dyDescent="0.25">
      <c r="E674" s="138"/>
      <c r="F674" s="138"/>
      <c r="I674" s="58"/>
      <c r="J674" s="58"/>
      <c r="K674" s="59"/>
      <c r="L674" s="59"/>
    </row>
    <row r="675" spans="5:12" x14ac:dyDescent="0.25">
      <c r="E675" s="138"/>
      <c r="F675" s="138"/>
      <c r="I675" s="58"/>
      <c r="J675" s="58"/>
      <c r="K675" s="59"/>
      <c r="L675" s="59"/>
    </row>
    <row r="676" spans="5:12" x14ac:dyDescent="0.25">
      <c r="E676" s="138"/>
      <c r="F676" s="138"/>
      <c r="I676" s="58"/>
      <c r="J676" s="58"/>
      <c r="K676" s="59"/>
      <c r="L676" s="59"/>
    </row>
    <row r="677" spans="5:12" x14ac:dyDescent="0.25">
      <c r="E677" s="138"/>
      <c r="F677" s="138"/>
      <c r="I677" s="58"/>
      <c r="J677" s="58"/>
      <c r="K677" s="59"/>
      <c r="L677" s="59"/>
    </row>
    <row r="678" spans="5:12" x14ac:dyDescent="0.25">
      <c r="E678" s="138"/>
      <c r="F678" s="138"/>
      <c r="I678" s="58"/>
      <c r="J678" s="58"/>
      <c r="K678" s="59"/>
      <c r="L678" s="59"/>
    </row>
    <row r="679" spans="5:12" x14ac:dyDescent="0.25">
      <c r="E679" s="138"/>
      <c r="F679" s="138"/>
      <c r="I679" s="58"/>
      <c r="J679" s="58"/>
      <c r="K679" s="59"/>
      <c r="L679" s="59"/>
    </row>
    <row r="680" spans="5:12" x14ac:dyDescent="0.25">
      <c r="E680" s="138"/>
      <c r="F680" s="138"/>
      <c r="I680" s="58"/>
      <c r="J680" s="58"/>
      <c r="K680" s="59"/>
      <c r="L680" s="59"/>
    </row>
    <row r="681" spans="5:12" x14ac:dyDescent="0.25">
      <c r="E681" s="138"/>
      <c r="F681" s="138"/>
      <c r="I681" s="58"/>
      <c r="J681" s="58"/>
      <c r="K681" s="59"/>
      <c r="L681" s="59"/>
    </row>
    <row r="682" spans="5:12" x14ac:dyDescent="0.25">
      <c r="E682" s="138"/>
      <c r="F682" s="138"/>
      <c r="I682" s="58"/>
      <c r="J682" s="58"/>
      <c r="K682" s="59"/>
      <c r="L682" s="59"/>
    </row>
    <row r="683" spans="5:12" x14ac:dyDescent="0.25">
      <c r="E683" s="138"/>
      <c r="F683" s="138"/>
      <c r="I683" s="58"/>
      <c r="J683" s="58"/>
      <c r="K683" s="59"/>
      <c r="L683" s="59"/>
    </row>
    <row r="684" spans="5:12" x14ac:dyDescent="0.25">
      <c r="E684" s="138"/>
      <c r="F684" s="138"/>
      <c r="I684" s="58"/>
      <c r="J684" s="58"/>
      <c r="K684" s="59"/>
      <c r="L684" s="59"/>
    </row>
    <row r="685" spans="5:12" x14ac:dyDescent="0.25">
      <c r="E685" s="138"/>
      <c r="F685" s="138"/>
      <c r="I685" s="58"/>
      <c r="J685" s="58"/>
      <c r="K685" s="59"/>
      <c r="L685" s="59"/>
    </row>
    <row r="686" spans="5:12" x14ac:dyDescent="0.25">
      <c r="E686" s="138"/>
      <c r="F686" s="138"/>
      <c r="I686" s="58"/>
      <c r="J686" s="58"/>
      <c r="K686" s="59"/>
      <c r="L686" s="59"/>
    </row>
    <row r="687" spans="5:12" x14ac:dyDescent="0.25">
      <c r="E687" s="138"/>
      <c r="F687" s="138"/>
      <c r="I687" s="58"/>
      <c r="J687" s="58"/>
      <c r="K687" s="59"/>
      <c r="L687" s="59"/>
    </row>
    <row r="688" spans="5:12" x14ac:dyDescent="0.25">
      <c r="E688" s="138"/>
      <c r="F688" s="138"/>
      <c r="I688" s="58"/>
      <c r="J688" s="58"/>
      <c r="K688" s="59"/>
      <c r="L688" s="59"/>
    </row>
    <row r="689" spans="5:12" x14ac:dyDescent="0.25">
      <c r="E689" s="138"/>
      <c r="F689" s="138"/>
      <c r="I689" s="58"/>
      <c r="J689" s="58"/>
      <c r="K689" s="59"/>
      <c r="L689" s="59"/>
    </row>
    <row r="690" spans="5:12" x14ac:dyDescent="0.25">
      <c r="E690" s="138"/>
      <c r="F690" s="138"/>
      <c r="I690" s="58"/>
      <c r="J690" s="58"/>
      <c r="K690" s="59"/>
      <c r="L690" s="59"/>
    </row>
    <row r="691" spans="5:12" x14ac:dyDescent="0.25">
      <c r="E691" s="138"/>
      <c r="F691" s="138"/>
      <c r="I691" s="58"/>
      <c r="J691" s="58"/>
      <c r="K691" s="59"/>
      <c r="L691" s="59"/>
    </row>
    <row r="692" spans="5:12" x14ac:dyDescent="0.25">
      <c r="E692" s="138"/>
      <c r="F692" s="138"/>
      <c r="I692" s="58"/>
      <c r="J692" s="58"/>
      <c r="K692" s="59"/>
      <c r="L692" s="59"/>
    </row>
    <row r="693" spans="5:12" x14ac:dyDescent="0.25">
      <c r="E693" s="138"/>
      <c r="F693" s="138"/>
      <c r="I693" s="58"/>
      <c r="J693" s="58"/>
      <c r="K693" s="59"/>
      <c r="L693" s="59"/>
    </row>
    <row r="694" spans="5:12" x14ac:dyDescent="0.25">
      <c r="E694" s="138"/>
      <c r="F694" s="138"/>
      <c r="I694" s="58"/>
      <c r="J694" s="58"/>
      <c r="K694" s="59"/>
      <c r="L694" s="59"/>
    </row>
    <row r="695" spans="5:12" x14ac:dyDescent="0.25">
      <c r="E695" s="138"/>
      <c r="F695" s="138"/>
      <c r="I695" s="58"/>
      <c r="J695" s="58"/>
      <c r="K695" s="59"/>
      <c r="L695" s="59"/>
    </row>
    <row r="696" spans="5:12" x14ac:dyDescent="0.25">
      <c r="E696" s="138"/>
      <c r="F696" s="138"/>
      <c r="I696" s="58"/>
      <c r="J696" s="58"/>
      <c r="K696" s="59"/>
      <c r="L696" s="59"/>
    </row>
    <row r="697" spans="5:12" x14ac:dyDescent="0.25">
      <c r="E697" s="138"/>
      <c r="F697" s="138"/>
      <c r="I697" s="58"/>
      <c r="J697" s="58"/>
      <c r="K697" s="59"/>
      <c r="L697" s="59"/>
    </row>
    <row r="698" spans="5:12" x14ac:dyDescent="0.25">
      <c r="E698" s="138"/>
      <c r="F698" s="138"/>
      <c r="I698" s="58"/>
      <c r="J698" s="58"/>
      <c r="K698" s="59"/>
      <c r="L698" s="59"/>
    </row>
    <row r="699" spans="5:12" x14ac:dyDescent="0.25">
      <c r="E699" s="138"/>
      <c r="F699" s="138"/>
      <c r="I699" s="58"/>
      <c r="J699" s="58"/>
      <c r="K699" s="59"/>
      <c r="L699" s="59"/>
    </row>
    <row r="700" spans="5:12" x14ac:dyDescent="0.25">
      <c r="E700" s="138"/>
      <c r="F700" s="138"/>
      <c r="I700" s="58"/>
      <c r="J700" s="58"/>
      <c r="K700" s="59"/>
      <c r="L700" s="59"/>
    </row>
    <row r="701" spans="5:12" x14ac:dyDescent="0.25">
      <c r="E701" s="138"/>
      <c r="F701" s="138"/>
      <c r="I701" s="58"/>
      <c r="J701" s="58"/>
      <c r="K701" s="59"/>
      <c r="L701" s="59"/>
    </row>
    <row r="702" spans="5:12" x14ac:dyDescent="0.25">
      <c r="E702" s="138"/>
      <c r="F702" s="138"/>
      <c r="I702" s="58"/>
      <c r="J702" s="58"/>
      <c r="K702" s="59"/>
      <c r="L702" s="59"/>
    </row>
    <row r="703" spans="5:12" x14ac:dyDescent="0.25">
      <c r="E703" s="138"/>
      <c r="F703" s="138"/>
      <c r="I703" s="58"/>
      <c r="J703" s="58"/>
      <c r="K703" s="59"/>
      <c r="L703" s="59"/>
    </row>
    <row r="704" spans="5:12" x14ac:dyDescent="0.25">
      <c r="E704" s="138"/>
      <c r="F704" s="138"/>
      <c r="I704" s="58"/>
      <c r="J704" s="58"/>
      <c r="K704" s="59"/>
      <c r="L704" s="59"/>
    </row>
    <row r="705" spans="5:12" x14ac:dyDescent="0.25">
      <c r="E705" s="138"/>
      <c r="F705" s="138"/>
      <c r="I705" s="58"/>
      <c r="J705" s="58"/>
      <c r="K705" s="59"/>
      <c r="L705" s="59"/>
    </row>
    <row r="706" spans="5:12" x14ac:dyDescent="0.25">
      <c r="E706" s="138"/>
      <c r="F706" s="138"/>
      <c r="I706" s="58"/>
      <c r="J706" s="58"/>
      <c r="K706" s="59"/>
      <c r="L706" s="59"/>
    </row>
    <row r="707" spans="5:12" x14ac:dyDescent="0.25">
      <c r="E707" s="138"/>
      <c r="F707" s="138"/>
      <c r="I707" s="58"/>
      <c r="J707" s="58"/>
      <c r="K707" s="59"/>
      <c r="L707" s="59"/>
    </row>
    <row r="708" spans="5:12" x14ac:dyDescent="0.25">
      <c r="E708" s="138"/>
      <c r="F708" s="138"/>
      <c r="I708" s="58"/>
      <c r="J708" s="58"/>
      <c r="K708" s="59"/>
      <c r="L708" s="59"/>
    </row>
    <row r="709" spans="5:12" x14ac:dyDescent="0.25">
      <c r="E709" s="138"/>
      <c r="F709" s="138"/>
      <c r="I709" s="58"/>
      <c r="J709" s="58"/>
      <c r="K709" s="59"/>
      <c r="L709" s="59"/>
    </row>
    <row r="710" spans="5:12" x14ac:dyDescent="0.25">
      <c r="E710" s="138"/>
      <c r="F710" s="138"/>
      <c r="I710" s="58"/>
      <c r="J710" s="58"/>
      <c r="K710" s="59"/>
      <c r="L710" s="59"/>
    </row>
    <row r="711" spans="5:12" x14ac:dyDescent="0.25">
      <c r="E711" s="138"/>
      <c r="F711" s="138"/>
      <c r="I711" s="58"/>
      <c r="J711" s="58"/>
      <c r="K711" s="59"/>
      <c r="L711" s="59"/>
    </row>
    <row r="712" spans="5:12" x14ac:dyDescent="0.25">
      <c r="E712" s="138"/>
      <c r="F712" s="138"/>
      <c r="I712" s="58"/>
      <c r="J712" s="58"/>
      <c r="K712" s="59"/>
      <c r="L712" s="59"/>
    </row>
    <row r="713" spans="5:12" x14ac:dyDescent="0.25">
      <c r="E713" s="138"/>
      <c r="F713" s="138"/>
      <c r="I713" s="58"/>
      <c r="J713" s="58"/>
      <c r="K713" s="59"/>
      <c r="L713" s="59"/>
    </row>
    <row r="714" spans="5:12" x14ac:dyDescent="0.25">
      <c r="E714" s="138"/>
      <c r="F714" s="138"/>
      <c r="I714" s="58"/>
      <c r="J714" s="58"/>
      <c r="K714" s="59"/>
      <c r="L714" s="59"/>
    </row>
    <row r="715" spans="5:12" x14ac:dyDescent="0.25">
      <c r="E715" s="138"/>
      <c r="F715" s="138"/>
      <c r="I715" s="58"/>
      <c r="J715" s="58"/>
      <c r="K715" s="59"/>
      <c r="L715" s="59"/>
    </row>
    <row r="716" spans="5:12" x14ac:dyDescent="0.25">
      <c r="E716" s="138"/>
      <c r="F716" s="138"/>
      <c r="I716" s="58"/>
      <c r="J716" s="58"/>
      <c r="K716" s="59"/>
      <c r="L716" s="59"/>
    </row>
    <row r="717" spans="5:12" x14ac:dyDescent="0.25">
      <c r="E717" s="138"/>
      <c r="F717" s="138"/>
      <c r="I717" s="58"/>
      <c r="J717" s="58"/>
      <c r="K717" s="59"/>
      <c r="L717" s="59"/>
    </row>
    <row r="718" spans="5:12" x14ac:dyDescent="0.25">
      <c r="E718" s="138"/>
      <c r="F718" s="138"/>
      <c r="I718" s="58"/>
      <c r="J718" s="58"/>
      <c r="K718" s="59"/>
      <c r="L718" s="59"/>
    </row>
    <row r="719" spans="5:12" x14ac:dyDescent="0.25">
      <c r="E719" s="138"/>
      <c r="F719" s="138"/>
      <c r="I719" s="58"/>
      <c r="J719" s="58"/>
      <c r="K719" s="59"/>
      <c r="L719" s="59"/>
    </row>
    <row r="720" spans="5:12" x14ac:dyDescent="0.25">
      <c r="E720" s="138"/>
      <c r="F720" s="138"/>
      <c r="I720" s="58"/>
      <c r="J720" s="58"/>
      <c r="K720" s="59"/>
      <c r="L720" s="59"/>
    </row>
    <row r="721" spans="5:12" x14ac:dyDescent="0.25">
      <c r="E721" s="138"/>
      <c r="F721" s="138"/>
      <c r="I721" s="58"/>
      <c r="J721" s="58"/>
      <c r="K721" s="59"/>
      <c r="L721" s="59"/>
    </row>
    <row r="722" spans="5:12" x14ac:dyDescent="0.25">
      <c r="E722" s="138"/>
      <c r="F722" s="138"/>
      <c r="I722" s="58"/>
      <c r="J722" s="58"/>
      <c r="K722" s="59"/>
      <c r="L722" s="59"/>
    </row>
    <row r="723" spans="5:12" x14ac:dyDescent="0.25">
      <c r="E723" s="138"/>
      <c r="F723" s="138"/>
      <c r="I723" s="58"/>
      <c r="J723" s="58"/>
      <c r="K723" s="59"/>
      <c r="L723" s="59"/>
    </row>
    <row r="724" spans="5:12" x14ac:dyDescent="0.25">
      <c r="E724" s="138"/>
      <c r="F724" s="138"/>
      <c r="I724" s="58"/>
      <c r="J724" s="58"/>
      <c r="K724" s="59"/>
      <c r="L724" s="59"/>
    </row>
    <row r="725" spans="5:12" x14ac:dyDescent="0.25">
      <c r="E725" s="138"/>
      <c r="F725" s="138"/>
      <c r="I725" s="58"/>
      <c r="J725" s="58"/>
      <c r="K725" s="59"/>
      <c r="L725" s="59"/>
    </row>
    <row r="726" spans="5:12" x14ac:dyDescent="0.25">
      <c r="E726" s="138"/>
      <c r="F726" s="138"/>
      <c r="I726" s="58"/>
      <c r="J726" s="58"/>
      <c r="K726" s="59"/>
      <c r="L726" s="59"/>
    </row>
    <row r="727" spans="5:12" x14ac:dyDescent="0.25">
      <c r="E727" s="138"/>
      <c r="F727" s="138"/>
      <c r="I727" s="58"/>
      <c r="J727" s="58"/>
      <c r="K727" s="59"/>
      <c r="L727" s="59"/>
    </row>
    <row r="728" spans="5:12" x14ac:dyDescent="0.25">
      <c r="E728" s="138"/>
      <c r="F728" s="138"/>
      <c r="I728" s="58"/>
      <c r="J728" s="58"/>
      <c r="K728" s="59"/>
      <c r="L728" s="59"/>
    </row>
    <row r="729" spans="5:12" x14ac:dyDescent="0.25">
      <c r="E729" s="138"/>
      <c r="F729" s="138"/>
      <c r="I729" s="58"/>
      <c r="J729" s="58"/>
      <c r="K729" s="59"/>
      <c r="L729" s="59"/>
    </row>
    <row r="730" spans="5:12" x14ac:dyDescent="0.25">
      <c r="E730" s="138"/>
      <c r="F730" s="138"/>
      <c r="I730" s="58"/>
      <c r="J730" s="58"/>
      <c r="K730" s="59"/>
      <c r="L730" s="59"/>
    </row>
    <row r="731" spans="5:12" x14ac:dyDescent="0.25">
      <c r="E731" s="138"/>
      <c r="F731" s="138"/>
      <c r="I731" s="58"/>
      <c r="J731" s="58"/>
      <c r="K731" s="59"/>
      <c r="L731" s="59"/>
    </row>
    <row r="732" spans="5:12" x14ac:dyDescent="0.25">
      <c r="E732" s="138"/>
      <c r="F732" s="138"/>
      <c r="I732" s="58"/>
      <c r="J732" s="58"/>
      <c r="K732" s="59"/>
      <c r="L732" s="59"/>
    </row>
    <row r="733" spans="5:12" x14ac:dyDescent="0.25">
      <c r="E733" s="138"/>
      <c r="F733" s="138"/>
      <c r="I733" s="58"/>
      <c r="J733" s="58"/>
      <c r="K733" s="59"/>
      <c r="L733" s="59"/>
    </row>
    <row r="734" spans="5:12" x14ac:dyDescent="0.25">
      <c r="E734" s="138"/>
      <c r="F734" s="138"/>
      <c r="I734" s="58"/>
      <c r="J734" s="58"/>
      <c r="K734" s="59"/>
      <c r="L734" s="59"/>
    </row>
    <row r="735" spans="5:12" x14ac:dyDescent="0.25">
      <c r="E735" s="138"/>
      <c r="F735" s="138"/>
      <c r="I735" s="58"/>
      <c r="J735" s="58"/>
      <c r="K735" s="59"/>
      <c r="L735" s="59"/>
    </row>
    <row r="736" spans="5:12" x14ac:dyDescent="0.25">
      <c r="E736" s="138"/>
      <c r="F736" s="138"/>
      <c r="I736" s="58"/>
      <c r="J736" s="58"/>
      <c r="K736" s="59"/>
      <c r="L736" s="59"/>
    </row>
    <row r="737" spans="5:12" x14ac:dyDescent="0.25">
      <c r="E737" s="138"/>
      <c r="F737" s="138"/>
      <c r="I737" s="58"/>
      <c r="J737" s="58"/>
      <c r="K737" s="59"/>
      <c r="L737" s="59"/>
    </row>
    <row r="738" spans="5:12" x14ac:dyDescent="0.25">
      <c r="E738" s="138"/>
      <c r="F738" s="138"/>
      <c r="I738" s="58"/>
      <c r="J738" s="58"/>
      <c r="K738" s="59"/>
      <c r="L738" s="59"/>
    </row>
    <row r="739" spans="5:12" x14ac:dyDescent="0.25">
      <c r="E739" s="138"/>
      <c r="F739" s="138"/>
      <c r="I739" s="58"/>
      <c r="J739" s="58"/>
      <c r="K739" s="59"/>
      <c r="L739" s="59"/>
    </row>
    <row r="740" spans="5:12" x14ac:dyDescent="0.25">
      <c r="E740" s="138"/>
      <c r="F740" s="138"/>
      <c r="I740" s="58"/>
      <c r="J740" s="58"/>
      <c r="K740" s="59"/>
      <c r="L740" s="59"/>
    </row>
    <row r="741" spans="5:12" x14ac:dyDescent="0.25">
      <c r="E741" s="138"/>
      <c r="F741" s="138"/>
      <c r="I741" s="58"/>
      <c r="J741" s="58"/>
      <c r="K741" s="59"/>
      <c r="L741" s="59"/>
    </row>
    <row r="742" spans="5:12" x14ac:dyDescent="0.25">
      <c r="E742" s="138"/>
      <c r="F742" s="138"/>
      <c r="I742" s="58"/>
      <c r="J742" s="58"/>
      <c r="K742" s="59"/>
      <c r="L742" s="59"/>
    </row>
    <row r="743" spans="5:12" x14ac:dyDescent="0.25">
      <c r="E743" s="138"/>
      <c r="F743" s="138"/>
      <c r="I743" s="58"/>
      <c r="J743" s="58"/>
      <c r="K743" s="59"/>
      <c r="L743" s="59"/>
    </row>
    <row r="744" spans="5:12" x14ac:dyDescent="0.25">
      <c r="E744" s="138"/>
      <c r="F744" s="138"/>
      <c r="I744" s="58"/>
      <c r="J744" s="58"/>
      <c r="K744" s="59"/>
      <c r="L744" s="59"/>
    </row>
    <row r="745" spans="5:12" x14ac:dyDescent="0.25">
      <c r="E745" s="138"/>
      <c r="F745" s="138"/>
      <c r="I745" s="58"/>
      <c r="J745" s="58"/>
      <c r="K745" s="59"/>
      <c r="L745" s="59"/>
    </row>
    <row r="746" spans="5:12" x14ac:dyDescent="0.25">
      <c r="E746" s="138"/>
      <c r="F746" s="138"/>
      <c r="I746" s="58"/>
      <c r="J746" s="58"/>
      <c r="K746" s="59"/>
      <c r="L746" s="59"/>
    </row>
    <row r="747" spans="5:12" x14ac:dyDescent="0.25">
      <c r="E747" s="138"/>
      <c r="F747" s="138"/>
      <c r="I747" s="58"/>
      <c r="J747" s="58"/>
      <c r="K747" s="59"/>
      <c r="L747" s="59"/>
    </row>
    <row r="748" spans="5:12" x14ac:dyDescent="0.25">
      <c r="E748" s="138"/>
      <c r="F748" s="138"/>
      <c r="I748" s="58"/>
      <c r="J748" s="58"/>
      <c r="K748" s="59"/>
      <c r="L748" s="59"/>
    </row>
    <row r="749" spans="5:12" x14ac:dyDescent="0.25">
      <c r="E749" s="138"/>
      <c r="F749" s="138"/>
      <c r="I749" s="58"/>
      <c r="J749" s="58"/>
      <c r="K749" s="59"/>
      <c r="L749" s="59"/>
    </row>
    <row r="750" spans="5:12" x14ac:dyDescent="0.25">
      <c r="E750" s="138"/>
      <c r="F750" s="138"/>
      <c r="I750" s="58"/>
      <c r="J750" s="58"/>
      <c r="K750" s="59"/>
      <c r="L750" s="59"/>
    </row>
    <row r="751" spans="5:12" x14ac:dyDescent="0.25">
      <c r="E751" s="138"/>
      <c r="F751" s="138"/>
      <c r="I751" s="58"/>
      <c r="J751" s="58"/>
      <c r="K751" s="59"/>
      <c r="L751" s="59"/>
    </row>
    <row r="752" spans="5:12" x14ac:dyDescent="0.25">
      <c r="E752" s="138"/>
      <c r="F752" s="138"/>
      <c r="I752" s="58"/>
      <c r="J752" s="58"/>
      <c r="K752" s="59"/>
      <c r="L752" s="59"/>
    </row>
    <row r="753" spans="5:12" x14ac:dyDescent="0.25">
      <c r="E753" s="138"/>
      <c r="F753" s="138"/>
      <c r="I753" s="58"/>
      <c r="J753" s="58"/>
      <c r="K753" s="59"/>
      <c r="L753" s="59"/>
    </row>
    <row r="754" spans="5:12" x14ac:dyDescent="0.25">
      <c r="E754" s="138"/>
      <c r="F754" s="138"/>
      <c r="I754" s="58"/>
      <c r="J754" s="58"/>
      <c r="K754" s="59"/>
      <c r="L754" s="59"/>
    </row>
    <row r="755" spans="5:12" x14ac:dyDescent="0.25">
      <c r="E755" s="138"/>
      <c r="F755" s="138"/>
      <c r="I755" s="58"/>
      <c r="J755" s="58"/>
      <c r="K755" s="59"/>
      <c r="L755" s="59"/>
    </row>
    <row r="756" spans="5:12" x14ac:dyDescent="0.25">
      <c r="E756" s="138"/>
      <c r="F756" s="138"/>
      <c r="I756" s="58"/>
      <c r="J756" s="58"/>
      <c r="K756" s="59"/>
      <c r="L756" s="59"/>
    </row>
    <row r="757" spans="5:12" x14ac:dyDescent="0.25">
      <c r="E757" s="138"/>
      <c r="F757" s="138"/>
      <c r="I757" s="58"/>
      <c r="J757" s="58"/>
      <c r="K757" s="59"/>
      <c r="L757" s="59"/>
    </row>
    <row r="758" spans="5:12" x14ac:dyDescent="0.25">
      <c r="E758" s="138"/>
      <c r="F758" s="138"/>
      <c r="I758" s="58"/>
      <c r="J758" s="58"/>
      <c r="K758" s="59"/>
      <c r="L758" s="59"/>
    </row>
    <row r="759" spans="5:12" x14ac:dyDescent="0.25">
      <c r="E759" s="138"/>
      <c r="F759" s="138"/>
      <c r="I759" s="58"/>
      <c r="J759" s="58"/>
      <c r="K759" s="59"/>
      <c r="L759" s="59"/>
    </row>
    <row r="760" spans="5:12" x14ac:dyDescent="0.25">
      <c r="E760" s="138"/>
      <c r="F760" s="138"/>
      <c r="I760" s="58"/>
      <c r="J760" s="58"/>
      <c r="K760" s="59"/>
      <c r="L760" s="59"/>
    </row>
    <row r="761" spans="5:12" x14ac:dyDescent="0.25">
      <c r="E761" s="138"/>
      <c r="F761" s="138"/>
      <c r="I761" s="58"/>
      <c r="J761" s="58"/>
      <c r="K761" s="59"/>
      <c r="L761" s="59"/>
    </row>
    <row r="762" spans="5:12" x14ac:dyDescent="0.25">
      <c r="E762" s="138"/>
      <c r="F762" s="138"/>
      <c r="I762" s="58"/>
      <c r="J762" s="58"/>
      <c r="K762" s="59"/>
      <c r="L762" s="59"/>
    </row>
    <row r="763" spans="5:12" x14ac:dyDescent="0.25">
      <c r="E763" s="138"/>
      <c r="F763" s="138"/>
      <c r="I763" s="58"/>
      <c r="J763" s="58"/>
      <c r="K763" s="59"/>
      <c r="L763" s="59"/>
    </row>
    <row r="764" spans="5:12" x14ac:dyDescent="0.25">
      <c r="E764" s="138"/>
      <c r="F764" s="138"/>
      <c r="I764" s="58"/>
      <c r="J764" s="58"/>
      <c r="K764" s="59"/>
      <c r="L764" s="59"/>
    </row>
    <row r="765" spans="5:12" x14ac:dyDescent="0.25">
      <c r="E765" s="138"/>
      <c r="F765" s="138"/>
      <c r="I765" s="58"/>
      <c r="J765" s="58"/>
      <c r="K765" s="59"/>
      <c r="L765" s="59"/>
    </row>
    <row r="766" spans="5:12" x14ac:dyDescent="0.25">
      <c r="E766" s="138"/>
      <c r="F766" s="138"/>
      <c r="I766" s="58"/>
      <c r="J766" s="58"/>
      <c r="K766" s="59"/>
      <c r="L766" s="59"/>
    </row>
    <row r="767" spans="5:12" x14ac:dyDescent="0.25">
      <c r="E767" s="138"/>
      <c r="F767" s="138"/>
      <c r="I767" s="58"/>
      <c r="J767" s="58"/>
      <c r="K767" s="59"/>
      <c r="L767" s="59"/>
    </row>
    <row r="768" spans="5:12" x14ac:dyDescent="0.25">
      <c r="E768" s="138"/>
      <c r="F768" s="138"/>
      <c r="I768" s="58"/>
      <c r="J768" s="58"/>
      <c r="K768" s="59"/>
      <c r="L768" s="59"/>
    </row>
    <row r="769" spans="5:12" x14ac:dyDescent="0.25">
      <c r="E769" s="138"/>
      <c r="F769" s="138"/>
      <c r="I769" s="58"/>
      <c r="J769" s="58"/>
      <c r="K769" s="59"/>
      <c r="L769" s="59"/>
    </row>
    <row r="770" spans="5:12" x14ac:dyDescent="0.25">
      <c r="E770" s="138"/>
      <c r="F770" s="138"/>
      <c r="I770" s="58"/>
      <c r="J770" s="58"/>
      <c r="K770" s="59"/>
      <c r="L770" s="59"/>
    </row>
    <row r="771" spans="5:12" x14ac:dyDescent="0.25">
      <c r="E771" s="138"/>
      <c r="F771" s="138"/>
      <c r="I771" s="58"/>
      <c r="J771" s="58"/>
      <c r="K771" s="59"/>
      <c r="L771" s="59"/>
    </row>
    <row r="772" spans="5:12" x14ac:dyDescent="0.25">
      <c r="E772" s="138"/>
      <c r="F772" s="138"/>
      <c r="I772" s="58"/>
      <c r="J772" s="58"/>
      <c r="K772" s="59"/>
      <c r="L772" s="59"/>
    </row>
    <row r="773" spans="5:12" x14ac:dyDescent="0.25">
      <c r="E773" s="138"/>
      <c r="F773" s="138"/>
      <c r="I773" s="58"/>
      <c r="J773" s="58"/>
      <c r="K773" s="59"/>
      <c r="L773" s="59"/>
    </row>
    <row r="774" spans="5:12" x14ac:dyDescent="0.25">
      <c r="E774" s="138"/>
      <c r="F774" s="138"/>
      <c r="I774" s="58"/>
      <c r="J774" s="58"/>
      <c r="K774" s="59"/>
      <c r="L774" s="59"/>
    </row>
    <row r="775" spans="5:12" x14ac:dyDescent="0.25">
      <c r="E775" s="138"/>
      <c r="F775" s="138"/>
      <c r="I775" s="58"/>
      <c r="J775" s="58"/>
      <c r="K775" s="59"/>
      <c r="L775" s="59"/>
    </row>
    <row r="776" spans="5:12" x14ac:dyDescent="0.25">
      <c r="E776" s="138"/>
      <c r="F776" s="138"/>
      <c r="I776" s="58"/>
      <c r="J776" s="58"/>
      <c r="K776" s="59"/>
      <c r="L776" s="59"/>
    </row>
    <row r="777" spans="5:12" x14ac:dyDescent="0.25">
      <c r="E777" s="138"/>
      <c r="F777" s="138"/>
      <c r="I777" s="58"/>
      <c r="J777" s="58"/>
      <c r="K777" s="59"/>
      <c r="L777" s="59"/>
    </row>
    <row r="778" spans="5:12" x14ac:dyDescent="0.25">
      <c r="E778" s="138"/>
      <c r="F778" s="138"/>
      <c r="I778" s="58"/>
      <c r="J778" s="58"/>
      <c r="K778" s="59"/>
      <c r="L778" s="59"/>
    </row>
    <row r="779" spans="5:12" x14ac:dyDescent="0.25">
      <c r="E779" s="138"/>
      <c r="F779" s="138"/>
      <c r="I779" s="58"/>
      <c r="J779" s="58"/>
      <c r="K779" s="59"/>
      <c r="L779" s="59"/>
    </row>
    <row r="780" spans="5:12" x14ac:dyDescent="0.25">
      <c r="E780" s="138"/>
      <c r="F780" s="138"/>
      <c r="I780" s="58"/>
      <c r="J780" s="58"/>
      <c r="K780" s="59"/>
      <c r="L780" s="59"/>
    </row>
    <row r="781" spans="5:12" x14ac:dyDescent="0.25">
      <c r="E781" s="138"/>
      <c r="F781" s="138"/>
      <c r="I781" s="58"/>
      <c r="J781" s="58"/>
      <c r="K781" s="59"/>
      <c r="L781" s="59"/>
    </row>
    <row r="782" spans="5:12" x14ac:dyDescent="0.25">
      <c r="E782" s="138"/>
      <c r="F782" s="138"/>
      <c r="I782" s="58"/>
      <c r="J782" s="58"/>
      <c r="K782" s="59"/>
      <c r="L782" s="59"/>
    </row>
    <row r="783" spans="5:12" x14ac:dyDescent="0.25">
      <c r="E783" s="138"/>
      <c r="F783" s="138"/>
      <c r="I783" s="58"/>
      <c r="J783" s="58"/>
      <c r="K783" s="59"/>
      <c r="L783" s="59"/>
    </row>
    <row r="784" spans="5:12" x14ac:dyDescent="0.25">
      <c r="E784" s="138"/>
      <c r="F784" s="138"/>
      <c r="I784" s="58"/>
      <c r="J784" s="58"/>
      <c r="K784" s="59"/>
      <c r="L784" s="59"/>
    </row>
    <row r="785" spans="5:12" x14ac:dyDescent="0.25">
      <c r="E785" s="138"/>
      <c r="F785" s="138"/>
      <c r="I785" s="58"/>
      <c r="J785" s="58"/>
      <c r="K785" s="59"/>
      <c r="L785" s="59"/>
    </row>
    <row r="786" spans="5:12" x14ac:dyDescent="0.25">
      <c r="E786" s="138"/>
      <c r="F786" s="138"/>
      <c r="I786" s="58"/>
      <c r="J786" s="58"/>
      <c r="K786" s="59"/>
      <c r="L786" s="59"/>
    </row>
    <row r="787" spans="5:12" x14ac:dyDescent="0.25">
      <c r="E787" s="138"/>
      <c r="F787" s="138"/>
      <c r="I787" s="58"/>
      <c r="J787" s="58"/>
      <c r="K787" s="59"/>
      <c r="L787" s="59"/>
    </row>
    <row r="788" spans="5:12" x14ac:dyDescent="0.25">
      <c r="E788" s="138"/>
      <c r="F788" s="138"/>
      <c r="I788" s="58"/>
      <c r="J788" s="58"/>
      <c r="K788" s="59"/>
      <c r="L788" s="59"/>
    </row>
    <row r="789" spans="5:12" x14ac:dyDescent="0.25">
      <c r="E789" s="138"/>
      <c r="F789" s="138"/>
      <c r="I789" s="58"/>
      <c r="J789" s="58"/>
      <c r="K789" s="59"/>
      <c r="L789" s="59"/>
    </row>
    <row r="790" spans="5:12" x14ac:dyDescent="0.25">
      <c r="E790" s="138"/>
      <c r="F790" s="138"/>
      <c r="I790" s="58"/>
      <c r="J790" s="58"/>
      <c r="K790" s="59"/>
      <c r="L790" s="59"/>
    </row>
    <row r="791" spans="5:12" x14ac:dyDescent="0.25">
      <c r="E791" s="138"/>
      <c r="F791" s="138"/>
      <c r="I791" s="58"/>
      <c r="J791" s="58"/>
      <c r="K791" s="59"/>
      <c r="L791" s="59"/>
    </row>
    <row r="792" spans="5:12" x14ac:dyDescent="0.25">
      <c r="E792" s="138"/>
      <c r="F792" s="138"/>
      <c r="I792" s="58"/>
      <c r="J792" s="58"/>
      <c r="K792" s="59"/>
      <c r="L792" s="59"/>
    </row>
    <row r="793" spans="5:12" x14ac:dyDescent="0.25">
      <c r="E793" s="138"/>
      <c r="F793" s="138"/>
      <c r="I793" s="58"/>
      <c r="J793" s="58"/>
      <c r="K793" s="59"/>
      <c r="L793" s="59"/>
    </row>
    <row r="794" spans="5:12" x14ac:dyDescent="0.25">
      <c r="E794" s="138"/>
      <c r="F794" s="138"/>
      <c r="I794" s="58"/>
      <c r="J794" s="58"/>
      <c r="K794" s="59"/>
      <c r="L794" s="59"/>
    </row>
    <row r="795" spans="5:12" x14ac:dyDescent="0.25">
      <c r="E795" s="138"/>
      <c r="F795" s="138"/>
      <c r="I795" s="58"/>
      <c r="J795" s="58"/>
      <c r="K795" s="59"/>
      <c r="L795" s="59"/>
    </row>
    <row r="796" spans="5:12" x14ac:dyDescent="0.25">
      <c r="E796" s="138"/>
      <c r="F796" s="138"/>
      <c r="I796" s="58"/>
      <c r="J796" s="58"/>
      <c r="K796" s="59"/>
      <c r="L796" s="59"/>
    </row>
    <row r="797" spans="5:12" x14ac:dyDescent="0.25">
      <c r="E797" s="138"/>
      <c r="F797" s="138"/>
      <c r="I797" s="58"/>
      <c r="J797" s="58"/>
      <c r="K797" s="59"/>
      <c r="L797" s="59"/>
    </row>
    <row r="798" spans="5:12" x14ac:dyDescent="0.25">
      <c r="E798" s="138"/>
      <c r="F798" s="138"/>
      <c r="I798" s="58"/>
      <c r="J798" s="58"/>
      <c r="K798" s="59"/>
      <c r="L798" s="59"/>
    </row>
    <row r="799" spans="5:12" x14ac:dyDescent="0.25">
      <c r="E799" s="138"/>
      <c r="F799" s="138"/>
      <c r="I799" s="58"/>
      <c r="J799" s="58"/>
      <c r="K799" s="59"/>
      <c r="L799" s="59"/>
    </row>
    <row r="800" spans="5:12" x14ac:dyDescent="0.25">
      <c r="E800" s="138"/>
      <c r="F800" s="138"/>
      <c r="I800" s="58"/>
      <c r="J800" s="58"/>
      <c r="K800" s="59"/>
      <c r="L800" s="59"/>
    </row>
    <row r="801" spans="5:12" x14ac:dyDescent="0.25">
      <c r="E801" s="138"/>
      <c r="F801" s="138"/>
      <c r="I801" s="58"/>
      <c r="J801" s="58"/>
      <c r="K801" s="59"/>
      <c r="L801" s="59"/>
    </row>
    <row r="802" spans="5:12" x14ac:dyDescent="0.25">
      <c r="E802" s="138"/>
      <c r="F802" s="138"/>
      <c r="I802" s="58"/>
      <c r="J802" s="58"/>
      <c r="K802" s="59"/>
      <c r="L802" s="59"/>
    </row>
    <row r="803" spans="5:12" x14ac:dyDescent="0.25">
      <c r="E803" s="138"/>
      <c r="F803" s="138"/>
      <c r="I803" s="58"/>
      <c r="J803" s="58"/>
      <c r="K803" s="59"/>
      <c r="L803" s="59"/>
    </row>
    <row r="804" spans="5:12" x14ac:dyDescent="0.25">
      <c r="E804" s="138"/>
      <c r="F804" s="138"/>
      <c r="I804" s="58"/>
      <c r="J804" s="58"/>
      <c r="K804" s="59"/>
      <c r="L804" s="59"/>
    </row>
    <row r="805" spans="5:12" x14ac:dyDescent="0.25">
      <c r="E805" s="138"/>
      <c r="F805" s="138"/>
      <c r="I805" s="58"/>
      <c r="J805" s="58"/>
      <c r="K805" s="59"/>
      <c r="L805" s="59"/>
    </row>
    <row r="806" spans="5:12" x14ac:dyDescent="0.25">
      <c r="E806" s="138"/>
      <c r="F806" s="138"/>
      <c r="I806" s="58"/>
      <c r="J806" s="58"/>
      <c r="K806" s="59"/>
      <c r="L806" s="59"/>
    </row>
    <row r="807" spans="5:12" x14ac:dyDescent="0.25">
      <c r="E807" s="138"/>
      <c r="F807" s="138"/>
      <c r="I807" s="58"/>
      <c r="J807" s="58"/>
      <c r="K807" s="59"/>
      <c r="L807" s="59"/>
    </row>
    <row r="808" spans="5:12" x14ac:dyDescent="0.25">
      <c r="E808" s="138"/>
      <c r="F808" s="138"/>
      <c r="I808" s="58"/>
      <c r="J808" s="58"/>
      <c r="K808" s="59"/>
      <c r="L808" s="59"/>
    </row>
    <row r="809" spans="5:12" x14ac:dyDescent="0.25">
      <c r="E809" s="138"/>
      <c r="F809" s="138"/>
      <c r="I809" s="58"/>
      <c r="J809" s="58"/>
      <c r="K809" s="59"/>
      <c r="L809" s="59"/>
    </row>
    <row r="810" spans="5:12" x14ac:dyDescent="0.25">
      <c r="E810" s="138"/>
      <c r="F810" s="138"/>
      <c r="I810" s="58"/>
      <c r="J810" s="58"/>
      <c r="K810" s="59"/>
      <c r="L810" s="59"/>
    </row>
    <row r="811" spans="5:12" x14ac:dyDescent="0.25">
      <c r="E811" s="138"/>
      <c r="F811" s="138"/>
      <c r="I811" s="58"/>
      <c r="J811" s="58"/>
      <c r="K811" s="59"/>
      <c r="L811" s="59"/>
    </row>
    <row r="812" spans="5:12" x14ac:dyDescent="0.25">
      <c r="E812" s="138"/>
      <c r="F812" s="138"/>
      <c r="I812" s="58"/>
      <c r="J812" s="58"/>
      <c r="K812" s="59"/>
      <c r="L812" s="59"/>
    </row>
    <row r="813" spans="5:12" x14ac:dyDescent="0.25">
      <c r="E813" s="138"/>
      <c r="F813" s="138"/>
      <c r="I813" s="58"/>
      <c r="J813" s="58"/>
      <c r="K813" s="59"/>
      <c r="L813" s="59"/>
    </row>
    <row r="814" spans="5:12" x14ac:dyDescent="0.25">
      <c r="E814" s="138"/>
      <c r="F814" s="138"/>
      <c r="I814" s="58"/>
      <c r="J814" s="58"/>
      <c r="K814" s="59"/>
      <c r="L814" s="59"/>
    </row>
    <row r="815" spans="5:12" x14ac:dyDescent="0.25">
      <c r="E815" s="138"/>
      <c r="F815" s="138"/>
      <c r="I815" s="58"/>
      <c r="J815" s="58"/>
      <c r="K815" s="59"/>
      <c r="L815" s="59"/>
    </row>
    <row r="816" spans="5:12" x14ac:dyDescent="0.25">
      <c r="E816" s="138"/>
      <c r="F816" s="138"/>
      <c r="I816" s="58"/>
      <c r="J816" s="58"/>
      <c r="K816" s="59"/>
      <c r="L816" s="59"/>
    </row>
    <row r="817" spans="5:12" x14ac:dyDescent="0.25">
      <c r="E817" s="138"/>
      <c r="F817" s="138"/>
      <c r="I817" s="58"/>
      <c r="J817" s="58"/>
      <c r="K817" s="59"/>
      <c r="L817" s="59"/>
    </row>
    <row r="818" spans="5:12" x14ac:dyDescent="0.25">
      <c r="E818" s="138"/>
      <c r="F818" s="138"/>
      <c r="I818" s="58"/>
      <c r="J818" s="58"/>
      <c r="K818" s="59"/>
      <c r="L818" s="59"/>
    </row>
    <row r="819" spans="5:12" x14ac:dyDescent="0.25">
      <c r="E819" s="138"/>
      <c r="F819" s="138"/>
      <c r="I819" s="58"/>
      <c r="J819" s="58"/>
      <c r="K819" s="59"/>
      <c r="L819" s="59"/>
    </row>
    <row r="820" spans="5:12" x14ac:dyDescent="0.25">
      <c r="E820" s="138"/>
      <c r="F820" s="138"/>
      <c r="I820" s="58"/>
      <c r="J820" s="58"/>
      <c r="K820" s="59"/>
      <c r="L820" s="59"/>
    </row>
    <row r="821" spans="5:12" x14ac:dyDescent="0.25">
      <c r="E821" s="138"/>
      <c r="F821" s="138"/>
      <c r="I821" s="58"/>
      <c r="J821" s="58"/>
      <c r="K821" s="59"/>
      <c r="L821" s="59"/>
    </row>
    <row r="822" spans="5:12" x14ac:dyDescent="0.25">
      <c r="E822" s="138"/>
      <c r="F822" s="138"/>
      <c r="I822" s="58"/>
      <c r="J822" s="58"/>
      <c r="K822" s="59"/>
      <c r="L822" s="59"/>
    </row>
    <row r="823" spans="5:12" x14ac:dyDescent="0.25">
      <c r="E823" s="138"/>
      <c r="F823" s="138"/>
      <c r="I823" s="58"/>
      <c r="J823" s="58"/>
      <c r="K823" s="59"/>
      <c r="L823" s="59"/>
    </row>
    <row r="824" spans="5:12" x14ac:dyDescent="0.25">
      <c r="E824" s="138"/>
      <c r="F824" s="138"/>
      <c r="I824" s="58"/>
      <c r="J824" s="58"/>
      <c r="K824" s="59"/>
      <c r="L824" s="59"/>
    </row>
    <row r="825" spans="5:12" x14ac:dyDescent="0.25">
      <c r="E825" s="138"/>
      <c r="F825" s="138"/>
      <c r="I825" s="58"/>
      <c r="J825" s="58"/>
      <c r="K825" s="59"/>
      <c r="L825" s="59"/>
    </row>
    <row r="826" spans="5:12" x14ac:dyDescent="0.25">
      <c r="E826" s="138"/>
      <c r="F826" s="138"/>
      <c r="I826" s="58"/>
      <c r="J826" s="58"/>
      <c r="K826" s="59"/>
      <c r="L826" s="59"/>
    </row>
    <row r="827" spans="5:12" x14ac:dyDescent="0.25">
      <c r="E827" s="138"/>
      <c r="F827" s="138"/>
      <c r="I827" s="58"/>
      <c r="J827" s="58"/>
      <c r="K827" s="59"/>
      <c r="L827" s="59"/>
    </row>
    <row r="828" spans="5:12" x14ac:dyDescent="0.25">
      <c r="E828" s="138"/>
      <c r="F828" s="138"/>
      <c r="I828" s="58"/>
      <c r="J828" s="58"/>
      <c r="K828" s="59"/>
      <c r="L828" s="59"/>
    </row>
    <row r="829" spans="5:12" x14ac:dyDescent="0.25">
      <c r="E829" s="138"/>
      <c r="F829" s="138"/>
      <c r="I829" s="58"/>
      <c r="J829" s="58"/>
      <c r="K829" s="59"/>
      <c r="L829" s="59"/>
    </row>
    <row r="830" spans="5:12" x14ac:dyDescent="0.25">
      <c r="E830" s="138"/>
      <c r="F830" s="138"/>
      <c r="I830" s="58"/>
      <c r="J830" s="58"/>
      <c r="K830" s="59"/>
      <c r="L830" s="59"/>
    </row>
    <row r="831" spans="5:12" x14ac:dyDescent="0.25">
      <c r="E831" s="138"/>
      <c r="F831" s="138"/>
      <c r="I831" s="58"/>
      <c r="J831" s="58"/>
      <c r="K831" s="59"/>
      <c r="L831" s="59"/>
    </row>
    <row r="832" spans="5:12" x14ac:dyDescent="0.25">
      <c r="E832" s="138"/>
      <c r="F832" s="138"/>
      <c r="I832" s="58"/>
      <c r="J832" s="58"/>
      <c r="K832" s="59"/>
      <c r="L832" s="59"/>
    </row>
    <row r="833" spans="5:12" x14ac:dyDescent="0.25">
      <c r="E833" s="138"/>
      <c r="F833" s="138"/>
      <c r="I833" s="58"/>
      <c r="J833" s="58"/>
      <c r="K833" s="59"/>
      <c r="L833" s="59"/>
    </row>
    <row r="834" spans="5:12" x14ac:dyDescent="0.25">
      <c r="E834" s="138"/>
      <c r="F834" s="138"/>
      <c r="I834" s="58"/>
      <c r="J834" s="58"/>
      <c r="K834" s="59"/>
      <c r="L834" s="59"/>
    </row>
    <row r="835" spans="5:12" x14ac:dyDescent="0.25">
      <c r="E835" s="138"/>
      <c r="F835" s="138"/>
      <c r="I835" s="58"/>
      <c r="J835" s="58"/>
      <c r="K835" s="59"/>
      <c r="L835" s="59"/>
    </row>
    <row r="836" spans="5:12" x14ac:dyDescent="0.25">
      <c r="E836" s="138"/>
      <c r="F836" s="138"/>
      <c r="I836" s="58"/>
      <c r="J836" s="58"/>
      <c r="K836" s="59"/>
      <c r="L836" s="59"/>
    </row>
    <row r="837" spans="5:12" x14ac:dyDescent="0.25">
      <c r="E837" s="138"/>
      <c r="F837" s="138"/>
      <c r="I837" s="58"/>
      <c r="J837" s="58"/>
      <c r="K837" s="59"/>
      <c r="L837" s="59"/>
    </row>
    <row r="838" spans="5:12" x14ac:dyDescent="0.25">
      <c r="E838" s="138"/>
      <c r="F838" s="138"/>
      <c r="I838" s="58"/>
      <c r="J838" s="58"/>
      <c r="K838" s="59"/>
      <c r="L838" s="59"/>
    </row>
    <row r="839" spans="5:12" x14ac:dyDescent="0.25">
      <c r="E839" s="138"/>
      <c r="F839" s="138"/>
      <c r="I839" s="58"/>
      <c r="J839" s="58"/>
      <c r="K839" s="59"/>
      <c r="L839" s="59"/>
    </row>
    <row r="840" spans="5:12" x14ac:dyDescent="0.25">
      <c r="E840" s="138"/>
      <c r="F840" s="138"/>
      <c r="I840" s="58"/>
      <c r="J840" s="58"/>
      <c r="K840" s="59"/>
      <c r="L840" s="59"/>
    </row>
    <row r="841" spans="5:12" x14ac:dyDescent="0.25">
      <c r="E841" s="138"/>
      <c r="F841" s="138"/>
      <c r="I841" s="58"/>
      <c r="J841" s="58"/>
      <c r="K841" s="59"/>
      <c r="L841" s="59"/>
    </row>
    <row r="842" spans="5:12" x14ac:dyDescent="0.25">
      <c r="E842" s="138"/>
      <c r="F842" s="138"/>
      <c r="I842" s="58"/>
      <c r="J842" s="58"/>
      <c r="K842" s="59"/>
      <c r="L842" s="59"/>
    </row>
    <row r="843" spans="5:12" x14ac:dyDescent="0.25">
      <c r="E843" s="138"/>
      <c r="F843" s="138"/>
      <c r="I843" s="58"/>
      <c r="J843" s="58"/>
      <c r="K843" s="59"/>
      <c r="L843" s="59"/>
    </row>
    <row r="844" spans="5:12" x14ac:dyDescent="0.25">
      <c r="E844" s="138"/>
      <c r="F844" s="138"/>
      <c r="I844" s="58"/>
      <c r="J844" s="58"/>
      <c r="K844" s="59"/>
      <c r="L844" s="59"/>
    </row>
    <row r="845" spans="5:12" x14ac:dyDescent="0.25">
      <c r="E845" s="138"/>
      <c r="F845" s="138"/>
      <c r="I845" s="58"/>
      <c r="J845" s="58"/>
      <c r="K845" s="59"/>
      <c r="L845" s="59"/>
    </row>
    <row r="846" spans="5:12" x14ac:dyDescent="0.25">
      <c r="E846" s="138"/>
      <c r="F846" s="138"/>
      <c r="I846" s="58"/>
      <c r="J846" s="58"/>
      <c r="K846" s="59"/>
      <c r="L846" s="59"/>
    </row>
    <row r="847" spans="5:12" x14ac:dyDescent="0.25">
      <c r="E847" s="138"/>
      <c r="F847" s="138"/>
      <c r="I847" s="58"/>
      <c r="J847" s="58"/>
      <c r="K847" s="59"/>
      <c r="L847" s="59"/>
    </row>
    <row r="848" spans="5:12" x14ac:dyDescent="0.25">
      <c r="E848" s="138"/>
      <c r="F848" s="138"/>
      <c r="I848" s="58"/>
      <c r="J848" s="58"/>
      <c r="K848" s="59"/>
      <c r="L848" s="59"/>
    </row>
    <row r="849" spans="5:12" x14ac:dyDescent="0.25">
      <c r="E849" s="138"/>
      <c r="F849" s="138"/>
      <c r="I849" s="58"/>
      <c r="J849" s="58"/>
      <c r="K849" s="59"/>
      <c r="L849" s="59"/>
    </row>
    <row r="850" spans="5:12" x14ac:dyDescent="0.25">
      <c r="E850" s="138"/>
      <c r="F850" s="138"/>
      <c r="I850" s="58"/>
      <c r="J850" s="58"/>
      <c r="K850" s="59"/>
      <c r="L850" s="59"/>
    </row>
    <row r="851" spans="5:12" x14ac:dyDescent="0.25">
      <c r="E851" s="138"/>
      <c r="F851" s="138"/>
      <c r="I851" s="58"/>
      <c r="J851" s="58"/>
      <c r="K851" s="59"/>
      <c r="L851" s="59"/>
    </row>
    <row r="852" spans="5:12" x14ac:dyDescent="0.25">
      <c r="E852" s="138"/>
      <c r="F852" s="138"/>
      <c r="I852" s="58"/>
      <c r="J852" s="58"/>
      <c r="K852" s="59"/>
      <c r="L852" s="59"/>
    </row>
    <row r="853" spans="5:12" x14ac:dyDescent="0.25">
      <c r="E853" s="138"/>
      <c r="F853" s="138"/>
      <c r="I853" s="58"/>
      <c r="J853" s="58"/>
      <c r="K853" s="59"/>
      <c r="L853" s="59"/>
    </row>
    <row r="854" spans="5:12" x14ac:dyDescent="0.25">
      <c r="E854" s="138"/>
      <c r="F854" s="138"/>
      <c r="I854" s="58"/>
      <c r="J854" s="58"/>
      <c r="K854" s="59"/>
      <c r="L854" s="59"/>
    </row>
    <row r="855" spans="5:12" x14ac:dyDescent="0.25">
      <c r="E855" s="138"/>
      <c r="F855" s="138"/>
      <c r="I855" s="58"/>
      <c r="J855" s="58"/>
      <c r="K855" s="59"/>
      <c r="L855" s="59"/>
    </row>
    <row r="856" spans="5:12" x14ac:dyDescent="0.25">
      <c r="E856" s="138"/>
      <c r="F856" s="138"/>
      <c r="I856" s="58"/>
      <c r="J856" s="58"/>
      <c r="K856" s="59"/>
      <c r="L856" s="59"/>
    </row>
    <row r="857" spans="5:12" x14ac:dyDescent="0.25">
      <c r="E857" s="138"/>
      <c r="F857" s="138"/>
      <c r="I857" s="58"/>
      <c r="J857" s="58"/>
      <c r="K857" s="59"/>
      <c r="L857" s="59"/>
    </row>
    <row r="858" spans="5:12" x14ac:dyDescent="0.25">
      <c r="E858" s="138"/>
      <c r="F858" s="138"/>
      <c r="I858" s="58"/>
      <c r="J858" s="58"/>
      <c r="K858" s="59"/>
      <c r="L858" s="59"/>
    </row>
    <row r="859" spans="5:12" x14ac:dyDescent="0.25">
      <c r="E859" s="138"/>
      <c r="F859" s="138"/>
      <c r="I859" s="58"/>
      <c r="J859" s="58"/>
      <c r="K859" s="59"/>
      <c r="L859" s="59"/>
    </row>
    <row r="860" spans="5:12" x14ac:dyDescent="0.25">
      <c r="E860" s="138"/>
      <c r="F860" s="138"/>
      <c r="I860" s="58"/>
      <c r="J860" s="58"/>
      <c r="K860" s="59"/>
      <c r="L860" s="59"/>
    </row>
    <row r="861" spans="5:12" x14ac:dyDescent="0.25">
      <c r="E861" s="138"/>
      <c r="F861" s="138"/>
      <c r="I861" s="58"/>
      <c r="J861" s="58"/>
      <c r="K861" s="59"/>
      <c r="L861" s="59"/>
    </row>
    <row r="862" spans="5:12" x14ac:dyDescent="0.25">
      <c r="E862" s="138"/>
      <c r="F862" s="138"/>
      <c r="I862" s="58"/>
      <c r="J862" s="58"/>
      <c r="K862" s="59"/>
      <c r="L862" s="59"/>
    </row>
    <row r="863" spans="5:12" x14ac:dyDescent="0.25">
      <c r="E863" s="138"/>
      <c r="F863" s="138"/>
      <c r="I863" s="58"/>
      <c r="J863" s="58"/>
      <c r="K863" s="59"/>
      <c r="L863" s="59"/>
    </row>
    <row r="864" spans="5:12" x14ac:dyDescent="0.25">
      <c r="E864" s="138"/>
      <c r="F864" s="138"/>
      <c r="I864" s="58"/>
      <c r="J864" s="58"/>
      <c r="K864" s="59"/>
      <c r="L864" s="59"/>
    </row>
    <row r="865" spans="5:12" x14ac:dyDescent="0.25">
      <c r="E865" s="138"/>
      <c r="F865" s="138"/>
      <c r="I865" s="58"/>
      <c r="J865" s="58"/>
      <c r="K865" s="59"/>
      <c r="L865" s="59"/>
    </row>
    <row r="866" spans="5:12" x14ac:dyDescent="0.25">
      <c r="E866" s="138"/>
      <c r="F866" s="138"/>
      <c r="I866" s="58"/>
      <c r="J866" s="58"/>
      <c r="K866" s="59"/>
      <c r="L866" s="59"/>
    </row>
    <row r="867" spans="5:12" x14ac:dyDescent="0.25">
      <c r="E867" s="138"/>
      <c r="F867" s="138"/>
      <c r="I867" s="58"/>
      <c r="J867" s="58"/>
      <c r="K867" s="59"/>
      <c r="L867" s="59"/>
    </row>
    <row r="868" spans="5:12" x14ac:dyDescent="0.25">
      <c r="E868" s="138"/>
      <c r="F868" s="138"/>
      <c r="I868" s="58"/>
      <c r="J868" s="58"/>
      <c r="K868" s="59"/>
      <c r="L868" s="59"/>
    </row>
    <row r="869" spans="5:12" x14ac:dyDescent="0.25">
      <c r="E869" s="138"/>
      <c r="F869" s="138"/>
      <c r="I869" s="58"/>
      <c r="J869" s="58"/>
      <c r="K869" s="59"/>
      <c r="L869" s="59"/>
    </row>
    <row r="870" spans="5:12" x14ac:dyDescent="0.25">
      <c r="E870" s="138"/>
      <c r="F870" s="138"/>
      <c r="I870" s="58"/>
      <c r="J870" s="58"/>
      <c r="K870" s="59"/>
      <c r="L870" s="59"/>
    </row>
    <row r="871" spans="5:12" x14ac:dyDescent="0.25">
      <c r="E871" s="138"/>
      <c r="F871" s="138"/>
      <c r="I871" s="58"/>
      <c r="J871" s="58"/>
      <c r="K871" s="59"/>
      <c r="L871" s="59"/>
    </row>
    <row r="872" spans="5:12" x14ac:dyDescent="0.25">
      <c r="E872" s="138"/>
      <c r="F872" s="138"/>
      <c r="I872" s="58"/>
      <c r="J872" s="58"/>
      <c r="K872" s="59"/>
      <c r="L872" s="59"/>
    </row>
    <row r="873" spans="5:12" x14ac:dyDescent="0.25">
      <c r="E873" s="138"/>
      <c r="F873" s="138"/>
      <c r="I873" s="58"/>
      <c r="J873" s="58"/>
      <c r="K873" s="59"/>
      <c r="L873" s="59"/>
    </row>
    <row r="874" spans="5:12" x14ac:dyDescent="0.25">
      <c r="E874" s="138"/>
      <c r="F874" s="138"/>
      <c r="I874" s="58"/>
      <c r="J874" s="58"/>
      <c r="K874" s="59"/>
      <c r="L874" s="59"/>
    </row>
    <row r="875" spans="5:12" x14ac:dyDescent="0.25">
      <c r="E875" s="138"/>
      <c r="F875" s="138"/>
      <c r="I875" s="58"/>
      <c r="J875" s="58"/>
      <c r="K875" s="59"/>
      <c r="L875" s="59"/>
    </row>
    <row r="876" spans="5:12" x14ac:dyDescent="0.25">
      <c r="E876" s="138"/>
      <c r="F876" s="138"/>
      <c r="I876" s="58"/>
      <c r="J876" s="58"/>
      <c r="K876" s="59"/>
      <c r="L876" s="59"/>
    </row>
    <row r="877" spans="5:12" x14ac:dyDescent="0.25">
      <c r="E877" s="138"/>
      <c r="F877" s="138"/>
      <c r="I877" s="58"/>
      <c r="J877" s="58"/>
      <c r="K877" s="59"/>
      <c r="L877" s="59"/>
    </row>
    <row r="878" spans="5:12" x14ac:dyDescent="0.25">
      <c r="E878" s="138"/>
      <c r="F878" s="138"/>
      <c r="I878" s="58"/>
      <c r="J878" s="58"/>
      <c r="K878" s="59"/>
      <c r="L878" s="59"/>
    </row>
    <row r="879" spans="5:12" x14ac:dyDescent="0.25">
      <c r="E879" s="138"/>
      <c r="F879" s="138"/>
      <c r="I879" s="58"/>
      <c r="J879" s="58"/>
      <c r="K879" s="59"/>
      <c r="L879" s="59"/>
    </row>
    <row r="880" spans="5:12" x14ac:dyDescent="0.25">
      <c r="E880" s="138"/>
      <c r="F880" s="138"/>
      <c r="I880" s="58"/>
      <c r="J880" s="58"/>
      <c r="K880" s="59"/>
      <c r="L880" s="59"/>
    </row>
    <row r="881" spans="5:12" x14ac:dyDescent="0.25">
      <c r="E881" s="138"/>
      <c r="F881" s="138"/>
      <c r="I881" s="58"/>
      <c r="J881" s="58"/>
      <c r="K881" s="59"/>
      <c r="L881" s="59"/>
    </row>
    <row r="882" spans="5:12" x14ac:dyDescent="0.25">
      <c r="E882" s="138"/>
      <c r="F882" s="138"/>
      <c r="I882" s="58"/>
      <c r="J882" s="58"/>
      <c r="K882" s="59"/>
      <c r="L882" s="59"/>
    </row>
    <row r="883" spans="5:12" x14ac:dyDescent="0.25">
      <c r="E883" s="138"/>
      <c r="F883" s="138"/>
      <c r="I883" s="58"/>
      <c r="J883" s="58"/>
      <c r="K883" s="59"/>
      <c r="L883" s="59"/>
    </row>
    <row r="884" spans="5:12" x14ac:dyDescent="0.25">
      <c r="E884" s="138"/>
      <c r="F884" s="138"/>
      <c r="I884" s="58"/>
      <c r="J884" s="58"/>
      <c r="K884" s="59"/>
      <c r="L884" s="59"/>
    </row>
    <row r="885" spans="5:12" x14ac:dyDescent="0.25">
      <c r="E885" s="138"/>
      <c r="F885" s="138"/>
      <c r="I885" s="58"/>
      <c r="J885" s="58"/>
      <c r="K885" s="59"/>
      <c r="L885" s="59"/>
    </row>
    <row r="886" spans="5:12" x14ac:dyDescent="0.25">
      <c r="E886" s="138"/>
      <c r="F886" s="138"/>
      <c r="I886" s="58"/>
      <c r="J886" s="58"/>
      <c r="K886" s="59"/>
      <c r="L886" s="59"/>
    </row>
    <row r="887" spans="5:12" x14ac:dyDescent="0.25">
      <c r="E887" s="138"/>
      <c r="F887" s="138"/>
      <c r="I887" s="58"/>
      <c r="J887" s="58"/>
      <c r="K887" s="59"/>
      <c r="L887" s="59"/>
    </row>
    <row r="888" spans="5:12" x14ac:dyDescent="0.25">
      <c r="E888" s="138"/>
      <c r="F888" s="138"/>
      <c r="I888" s="58"/>
      <c r="J888" s="58"/>
      <c r="K888" s="59"/>
      <c r="L888" s="59"/>
    </row>
    <row r="889" spans="5:12" x14ac:dyDescent="0.25">
      <c r="E889" s="138"/>
      <c r="F889" s="138"/>
      <c r="I889" s="58"/>
      <c r="J889" s="58"/>
      <c r="K889" s="59"/>
      <c r="L889" s="59"/>
    </row>
    <row r="890" spans="5:12" x14ac:dyDescent="0.25">
      <c r="E890" s="138"/>
      <c r="F890" s="138"/>
      <c r="I890" s="58"/>
      <c r="J890" s="58"/>
      <c r="K890" s="59"/>
      <c r="L890" s="59"/>
    </row>
    <row r="891" spans="5:12" x14ac:dyDescent="0.25">
      <c r="E891" s="138"/>
      <c r="F891" s="138"/>
      <c r="I891" s="58"/>
      <c r="J891" s="58"/>
      <c r="K891" s="59"/>
      <c r="L891" s="59"/>
    </row>
    <row r="892" spans="5:12" x14ac:dyDescent="0.25">
      <c r="E892" s="138"/>
      <c r="F892" s="138"/>
      <c r="I892" s="58"/>
      <c r="J892" s="58"/>
      <c r="K892" s="59"/>
      <c r="L892" s="59"/>
    </row>
    <row r="893" spans="5:12" x14ac:dyDescent="0.25">
      <c r="E893" s="138"/>
      <c r="F893" s="138"/>
      <c r="I893" s="58"/>
      <c r="J893" s="58"/>
      <c r="K893" s="59"/>
      <c r="L893" s="59"/>
    </row>
    <row r="894" spans="5:12" x14ac:dyDescent="0.25">
      <c r="E894" s="138"/>
      <c r="F894" s="138"/>
      <c r="I894" s="58"/>
      <c r="J894" s="58"/>
      <c r="K894" s="59"/>
      <c r="L894" s="59"/>
    </row>
    <row r="895" spans="5:12" x14ac:dyDescent="0.25">
      <c r="E895" s="138"/>
      <c r="F895" s="138"/>
      <c r="I895" s="58"/>
      <c r="J895" s="58"/>
      <c r="K895" s="59"/>
      <c r="L895" s="59"/>
    </row>
    <row r="896" spans="5:12" x14ac:dyDescent="0.25">
      <c r="E896" s="138"/>
      <c r="F896" s="138"/>
      <c r="I896" s="58"/>
      <c r="J896" s="58"/>
      <c r="K896" s="59"/>
      <c r="L896" s="59"/>
    </row>
    <row r="897" spans="5:12" x14ac:dyDescent="0.25">
      <c r="E897" s="138"/>
      <c r="F897" s="138"/>
      <c r="I897" s="58"/>
      <c r="J897" s="58"/>
      <c r="K897" s="59"/>
      <c r="L897" s="59"/>
    </row>
    <row r="898" spans="5:12" x14ac:dyDescent="0.25">
      <c r="E898" s="138"/>
      <c r="F898" s="138"/>
      <c r="I898" s="58"/>
      <c r="J898" s="58"/>
      <c r="K898" s="59"/>
      <c r="L898" s="59"/>
    </row>
    <row r="899" spans="5:12" x14ac:dyDescent="0.25">
      <c r="E899" s="138"/>
      <c r="F899" s="138"/>
      <c r="I899" s="58"/>
      <c r="J899" s="58"/>
      <c r="K899" s="59"/>
      <c r="L899" s="59"/>
    </row>
    <row r="900" spans="5:12" x14ac:dyDescent="0.25">
      <c r="E900" s="138"/>
      <c r="F900" s="138"/>
      <c r="I900" s="58"/>
      <c r="J900" s="58"/>
      <c r="K900" s="59"/>
      <c r="L900" s="59"/>
    </row>
    <row r="901" spans="5:12" x14ac:dyDescent="0.25">
      <c r="E901" s="138"/>
      <c r="F901" s="138"/>
      <c r="I901" s="58"/>
      <c r="J901" s="58"/>
      <c r="K901" s="59"/>
      <c r="L901" s="59"/>
    </row>
    <row r="902" spans="5:12" x14ac:dyDescent="0.25">
      <c r="E902" s="138"/>
      <c r="F902" s="138"/>
      <c r="I902" s="58"/>
      <c r="J902" s="58"/>
      <c r="K902" s="59"/>
      <c r="L902" s="59"/>
    </row>
    <row r="903" spans="5:12" x14ac:dyDescent="0.25">
      <c r="E903" s="138"/>
      <c r="F903" s="138"/>
      <c r="I903" s="58"/>
      <c r="J903" s="58"/>
      <c r="K903" s="59"/>
      <c r="L903" s="59"/>
    </row>
    <row r="904" spans="5:12" x14ac:dyDescent="0.25">
      <c r="E904" s="138"/>
      <c r="F904" s="138"/>
      <c r="I904" s="58"/>
      <c r="J904" s="58"/>
      <c r="K904" s="59"/>
      <c r="L904" s="59"/>
    </row>
    <row r="905" spans="5:12" x14ac:dyDescent="0.25">
      <c r="E905" s="138"/>
      <c r="F905" s="138"/>
      <c r="I905" s="58"/>
      <c r="J905" s="58"/>
      <c r="K905" s="59"/>
      <c r="L905" s="59"/>
    </row>
    <row r="906" spans="5:12" x14ac:dyDescent="0.25">
      <c r="E906" s="138"/>
      <c r="F906" s="138"/>
      <c r="I906" s="58"/>
      <c r="J906" s="58"/>
      <c r="K906" s="59"/>
      <c r="L906" s="59"/>
    </row>
    <row r="907" spans="5:12" x14ac:dyDescent="0.25">
      <c r="E907" s="138"/>
      <c r="F907" s="138"/>
      <c r="I907" s="58"/>
      <c r="J907" s="58"/>
      <c r="K907" s="59"/>
      <c r="L907" s="59"/>
    </row>
    <row r="908" spans="5:12" x14ac:dyDescent="0.25">
      <c r="E908" s="138"/>
      <c r="F908" s="138"/>
      <c r="I908" s="58"/>
      <c r="J908" s="58"/>
      <c r="K908" s="59"/>
      <c r="L908" s="59"/>
    </row>
    <row r="909" spans="5:12" x14ac:dyDescent="0.25">
      <c r="E909" s="138"/>
      <c r="F909" s="138"/>
      <c r="I909" s="58"/>
      <c r="J909" s="58"/>
      <c r="K909" s="59"/>
      <c r="L909" s="59"/>
    </row>
    <row r="910" spans="5:12" x14ac:dyDescent="0.25">
      <c r="E910" s="138"/>
      <c r="F910" s="138"/>
      <c r="I910" s="58"/>
      <c r="J910" s="58"/>
      <c r="K910" s="59"/>
      <c r="L910" s="59"/>
    </row>
    <row r="911" spans="5:12" x14ac:dyDescent="0.25">
      <c r="E911" s="138"/>
      <c r="F911" s="138"/>
      <c r="I911" s="58"/>
      <c r="J911" s="58"/>
      <c r="K911" s="59"/>
      <c r="L911" s="59"/>
    </row>
    <row r="912" spans="5:12" x14ac:dyDescent="0.25">
      <c r="E912" s="138"/>
      <c r="F912" s="138"/>
      <c r="I912" s="58"/>
      <c r="J912" s="58"/>
      <c r="K912" s="59"/>
      <c r="L912" s="59"/>
    </row>
    <row r="913" spans="5:12" x14ac:dyDescent="0.25">
      <c r="E913" s="138"/>
      <c r="F913" s="138"/>
      <c r="I913" s="58"/>
      <c r="J913" s="58"/>
      <c r="K913" s="59"/>
      <c r="L913" s="59"/>
    </row>
    <row r="914" spans="5:12" x14ac:dyDescent="0.25">
      <c r="E914" s="138"/>
      <c r="F914" s="138"/>
      <c r="I914" s="58"/>
      <c r="J914" s="58"/>
      <c r="K914" s="59"/>
      <c r="L914" s="59"/>
    </row>
    <row r="915" spans="5:12" x14ac:dyDescent="0.25">
      <c r="E915" s="138"/>
      <c r="F915" s="138"/>
      <c r="I915" s="58"/>
      <c r="J915" s="58"/>
      <c r="K915" s="59"/>
      <c r="L915" s="59"/>
    </row>
    <row r="916" spans="5:12" x14ac:dyDescent="0.25">
      <c r="E916" s="138"/>
      <c r="F916" s="138"/>
      <c r="I916" s="58"/>
      <c r="J916" s="58"/>
      <c r="K916" s="59"/>
      <c r="L916" s="59"/>
    </row>
    <row r="917" spans="5:12" x14ac:dyDescent="0.25">
      <c r="E917" s="138"/>
      <c r="F917" s="138"/>
      <c r="I917" s="58"/>
      <c r="J917" s="58"/>
      <c r="K917" s="59"/>
      <c r="L917" s="59"/>
    </row>
    <row r="918" spans="5:12" x14ac:dyDescent="0.25">
      <c r="E918" s="138"/>
      <c r="F918" s="138"/>
      <c r="I918" s="58"/>
      <c r="J918" s="58"/>
      <c r="K918" s="59"/>
      <c r="L918" s="59"/>
    </row>
    <row r="919" spans="5:12" x14ac:dyDescent="0.25">
      <c r="E919" s="138"/>
      <c r="F919" s="138"/>
      <c r="I919" s="58"/>
      <c r="J919" s="58"/>
      <c r="K919" s="59"/>
      <c r="L919" s="59"/>
    </row>
    <row r="920" spans="5:12" x14ac:dyDescent="0.25">
      <c r="E920" s="138"/>
      <c r="F920" s="138"/>
      <c r="I920" s="58"/>
      <c r="J920" s="58"/>
      <c r="K920" s="59"/>
      <c r="L920" s="59"/>
    </row>
    <row r="921" spans="5:12" x14ac:dyDescent="0.25">
      <c r="E921" s="138"/>
      <c r="F921" s="138"/>
      <c r="I921" s="58"/>
      <c r="J921" s="58"/>
      <c r="K921" s="59"/>
      <c r="L921" s="59"/>
    </row>
    <row r="922" spans="5:12" x14ac:dyDescent="0.25">
      <c r="E922" s="138"/>
      <c r="F922" s="138"/>
      <c r="I922" s="58"/>
      <c r="J922" s="58"/>
      <c r="K922" s="59"/>
      <c r="L922" s="59"/>
    </row>
    <row r="923" spans="5:12" x14ac:dyDescent="0.25">
      <c r="E923" s="138"/>
      <c r="F923" s="138"/>
      <c r="I923" s="58"/>
      <c r="J923" s="58"/>
      <c r="K923" s="59"/>
      <c r="L923" s="59"/>
    </row>
    <row r="924" spans="5:12" x14ac:dyDescent="0.25">
      <c r="E924" s="138"/>
      <c r="F924" s="138"/>
      <c r="I924" s="58"/>
      <c r="J924" s="58"/>
      <c r="K924" s="59"/>
      <c r="L924" s="59"/>
    </row>
    <row r="925" spans="5:12" x14ac:dyDescent="0.25">
      <c r="E925" s="138"/>
      <c r="F925" s="138"/>
      <c r="I925" s="58"/>
      <c r="J925" s="58"/>
      <c r="K925" s="59"/>
      <c r="L925" s="59"/>
    </row>
    <row r="926" spans="5:12" x14ac:dyDescent="0.25">
      <c r="E926" s="138"/>
      <c r="F926" s="138"/>
      <c r="I926" s="58"/>
      <c r="J926" s="58"/>
      <c r="K926" s="59"/>
      <c r="L926" s="59"/>
    </row>
    <row r="927" spans="5:12" x14ac:dyDescent="0.25">
      <c r="E927" s="138"/>
      <c r="F927" s="138"/>
      <c r="I927" s="58"/>
      <c r="J927" s="58"/>
      <c r="K927" s="59"/>
      <c r="L927" s="59"/>
    </row>
    <row r="928" spans="5:12" x14ac:dyDescent="0.25">
      <c r="E928" s="138"/>
      <c r="F928" s="138"/>
      <c r="I928" s="58"/>
      <c r="J928" s="58"/>
      <c r="K928" s="59"/>
      <c r="L928" s="59"/>
    </row>
    <row r="929" spans="5:12" x14ac:dyDescent="0.25">
      <c r="E929" s="138"/>
      <c r="F929" s="138"/>
      <c r="I929" s="58"/>
      <c r="J929" s="58"/>
      <c r="K929" s="59"/>
      <c r="L929" s="59"/>
    </row>
    <row r="930" spans="5:12" x14ac:dyDescent="0.25">
      <c r="E930" s="138"/>
      <c r="F930" s="138"/>
      <c r="I930" s="58"/>
      <c r="J930" s="58"/>
      <c r="K930" s="59"/>
      <c r="L930" s="59"/>
    </row>
    <row r="931" spans="5:12" x14ac:dyDescent="0.25">
      <c r="E931" s="138"/>
      <c r="F931" s="138"/>
      <c r="I931" s="58"/>
      <c r="J931" s="58"/>
      <c r="K931" s="59"/>
      <c r="L931" s="59"/>
    </row>
    <row r="932" spans="5:12" x14ac:dyDescent="0.25">
      <c r="E932" s="138"/>
      <c r="F932" s="138"/>
      <c r="I932" s="58"/>
      <c r="J932" s="58"/>
      <c r="K932" s="59"/>
      <c r="L932" s="59"/>
    </row>
    <row r="933" spans="5:12" x14ac:dyDescent="0.25">
      <c r="E933" s="138"/>
      <c r="F933" s="138"/>
      <c r="I933" s="58"/>
      <c r="J933" s="58"/>
      <c r="K933" s="59"/>
      <c r="L933" s="59"/>
    </row>
    <row r="934" spans="5:12" x14ac:dyDescent="0.25">
      <c r="E934" s="138"/>
      <c r="F934" s="138"/>
      <c r="I934" s="58"/>
      <c r="J934" s="58"/>
      <c r="K934" s="59"/>
      <c r="L934" s="59"/>
    </row>
    <row r="935" spans="5:12" x14ac:dyDescent="0.25">
      <c r="E935" s="138"/>
      <c r="F935" s="138"/>
      <c r="I935" s="58"/>
      <c r="J935" s="58"/>
      <c r="K935" s="59"/>
      <c r="L935" s="59"/>
    </row>
    <row r="936" spans="5:12" x14ac:dyDescent="0.25">
      <c r="E936" s="138"/>
      <c r="F936" s="138"/>
      <c r="I936" s="58"/>
      <c r="J936" s="58"/>
      <c r="K936" s="59"/>
      <c r="L936" s="59"/>
    </row>
    <row r="937" spans="5:12" x14ac:dyDescent="0.25">
      <c r="E937" s="138"/>
      <c r="F937" s="138"/>
      <c r="I937" s="58"/>
      <c r="J937" s="58"/>
      <c r="K937" s="59"/>
      <c r="L937" s="59"/>
    </row>
    <row r="938" spans="5:12" x14ac:dyDescent="0.25">
      <c r="E938" s="138"/>
      <c r="F938" s="138"/>
      <c r="I938" s="58"/>
      <c r="J938" s="58"/>
      <c r="K938" s="59"/>
      <c r="L938" s="59"/>
    </row>
    <row r="939" spans="5:12" x14ac:dyDescent="0.25">
      <c r="E939" s="138"/>
      <c r="F939" s="138"/>
      <c r="I939" s="58"/>
      <c r="J939" s="58"/>
      <c r="K939" s="59"/>
      <c r="L939" s="59"/>
    </row>
    <row r="940" spans="5:12" x14ac:dyDescent="0.25">
      <c r="E940" s="138"/>
      <c r="F940" s="138"/>
      <c r="I940" s="58"/>
      <c r="J940" s="58"/>
      <c r="K940" s="59"/>
      <c r="L940" s="59"/>
    </row>
    <row r="941" spans="5:12" x14ac:dyDescent="0.25">
      <c r="E941" s="138"/>
      <c r="F941" s="138"/>
      <c r="I941" s="58"/>
      <c r="J941" s="58"/>
      <c r="K941" s="59"/>
      <c r="L941" s="59"/>
    </row>
    <row r="942" spans="5:12" x14ac:dyDescent="0.25">
      <c r="E942" s="138"/>
      <c r="F942" s="138"/>
      <c r="I942" s="58"/>
      <c r="J942" s="58"/>
      <c r="K942" s="59"/>
      <c r="L942" s="59"/>
    </row>
    <row r="943" spans="5:12" x14ac:dyDescent="0.25">
      <c r="E943" s="138"/>
      <c r="F943" s="138"/>
      <c r="I943" s="58"/>
      <c r="J943" s="58"/>
      <c r="K943" s="59"/>
      <c r="L943" s="59"/>
    </row>
    <row r="944" spans="5:12" x14ac:dyDescent="0.25">
      <c r="E944" s="138"/>
      <c r="F944" s="138"/>
      <c r="I944" s="58"/>
      <c r="J944" s="58"/>
      <c r="K944" s="59"/>
      <c r="L944" s="59"/>
    </row>
    <row r="945" spans="5:12" x14ac:dyDescent="0.25">
      <c r="E945" s="138"/>
      <c r="F945" s="138"/>
      <c r="I945" s="58"/>
      <c r="J945" s="58"/>
      <c r="K945" s="59"/>
      <c r="L945" s="59"/>
    </row>
    <row r="946" spans="5:12" x14ac:dyDescent="0.25">
      <c r="E946" s="138"/>
      <c r="F946" s="138"/>
      <c r="I946" s="58"/>
      <c r="J946" s="58"/>
      <c r="K946" s="59"/>
      <c r="L946" s="59"/>
    </row>
    <row r="947" spans="5:12" x14ac:dyDescent="0.25">
      <c r="E947" s="138"/>
      <c r="F947" s="138"/>
      <c r="I947" s="58"/>
      <c r="J947" s="58"/>
      <c r="K947" s="59"/>
      <c r="L947" s="59"/>
    </row>
    <row r="948" spans="5:12" x14ac:dyDescent="0.25">
      <c r="E948" s="138"/>
      <c r="F948" s="138"/>
      <c r="I948" s="58"/>
      <c r="J948" s="58"/>
      <c r="K948" s="59"/>
      <c r="L948" s="59"/>
    </row>
    <row r="949" spans="5:12" x14ac:dyDescent="0.25">
      <c r="E949" s="138"/>
      <c r="F949" s="138"/>
      <c r="I949" s="58"/>
      <c r="J949" s="58"/>
      <c r="K949" s="59"/>
      <c r="L949" s="59"/>
    </row>
    <row r="950" spans="5:12" x14ac:dyDescent="0.25">
      <c r="E950" s="138"/>
      <c r="F950" s="138"/>
      <c r="I950" s="58"/>
      <c r="J950" s="58"/>
      <c r="K950" s="59"/>
      <c r="L950" s="59"/>
    </row>
    <row r="951" spans="5:12" x14ac:dyDescent="0.25">
      <c r="E951" s="138"/>
      <c r="F951" s="138"/>
      <c r="I951" s="58"/>
      <c r="J951" s="58"/>
      <c r="K951" s="59"/>
      <c r="L951" s="59"/>
    </row>
    <row r="952" spans="5:12" x14ac:dyDescent="0.25">
      <c r="E952" s="138"/>
      <c r="F952" s="138"/>
      <c r="I952" s="58"/>
      <c r="J952" s="58"/>
      <c r="K952" s="59"/>
      <c r="L952" s="59"/>
    </row>
    <row r="953" spans="5:12" x14ac:dyDescent="0.25">
      <c r="E953" s="138"/>
      <c r="F953" s="138"/>
      <c r="I953" s="58"/>
      <c r="J953" s="58"/>
      <c r="K953" s="59"/>
      <c r="L953" s="59"/>
    </row>
    <row r="954" spans="5:12" x14ac:dyDescent="0.25">
      <c r="E954" s="138"/>
      <c r="F954" s="138"/>
      <c r="I954" s="58"/>
      <c r="J954" s="58"/>
      <c r="K954" s="59"/>
      <c r="L954" s="59"/>
    </row>
    <row r="955" spans="5:12" x14ac:dyDescent="0.25">
      <c r="E955" s="138"/>
      <c r="F955" s="138"/>
      <c r="I955" s="58"/>
      <c r="J955" s="58"/>
      <c r="K955" s="59"/>
      <c r="L955" s="59"/>
    </row>
    <row r="956" spans="5:12" x14ac:dyDescent="0.25">
      <c r="E956" s="138"/>
      <c r="F956" s="138"/>
      <c r="I956" s="58"/>
      <c r="J956" s="58"/>
      <c r="K956" s="59"/>
      <c r="L956" s="59"/>
    </row>
    <row r="957" spans="5:12" x14ac:dyDescent="0.25">
      <c r="E957" s="138"/>
      <c r="F957" s="138"/>
      <c r="I957" s="58"/>
      <c r="J957" s="58"/>
      <c r="K957" s="59"/>
      <c r="L957" s="59"/>
    </row>
    <row r="958" spans="5:12" x14ac:dyDescent="0.25">
      <c r="E958" s="138"/>
      <c r="F958" s="138"/>
      <c r="I958" s="58"/>
      <c r="J958" s="58"/>
      <c r="K958" s="59"/>
      <c r="L958" s="59"/>
    </row>
    <row r="959" spans="5:12" x14ac:dyDescent="0.25">
      <c r="E959" s="138"/>
      <c r="F959" s="138"/>
      <c r="I959" s="58"/>
      <c r="J959" s="58"/>
      <c r="K959" s="59"/>
      <c r="L959" s="59"/>
    </row>
    <row r="960" spans="5:12" x14ac:dyDescent="0.25">
      <c r="E960" s="138"/>
      <c r="F960" s="138"/>
      <c r="I960" s="58"/>
      <c r="J960" s="58"/>
      <c r="K960" s="59"/>
      <c r="L960" s="59"/>
    </row>
    <row r="961" spans="5:12" x14ac:dyDescent="0.25">
      <c r="E961" s="138"/>
      <c r="F961" s="138"/>
      <c r="I961" s="58"/>
      <c r="J961" s="58"/>
      <c r="K961" s="59"/>
      <c r="L961" s="59"/>
    </row>
    <row r="962" spans="5:12" x14ac:dyDescent="0.25">
      <c r="E962" s="138"/>
      <c r="F962" s="138"/>
      <c r="I962" s="58"/>
      <c r="J962" s="58"/>
      <c r="K962" s="59"/>
      <c r="L962" s="59"/>
    </row>
    <row r="963" spans="5:12" x14ac:dyDescent="0.25">
      <c r="E963" s="138"/>
      <c r="F963" s="138"/>
      <c r="I963" s="58"/>
      <c r="J963" s="58"/>
      <c r="K963" s="59"/>
      <c r="L963" s="59"/>
    </row>
    <row r="964" spans="5:12" x14ac:dyDescent="0.25">
      <c r="E964" s="138"/>
      <c r="F964" s="138"/>
      <c r="I964" s="58"/>
      <c r="J964" s="58"/>
      <c r="K964" s="59"/>
      <c r="L964" s="59"/>
    </row>
    <row r="965" spans="5:12" x14ac:dyDescent="0.25">
      <c r="E965" s="138"/>
      <c r="F965" s="138"/>
      <c r="I965" s="58"/>
      <c r="J965" s="58"/>
      <c r="K965" s="59"/>
      <c r="L965" s="59"/>
    </row>
    <row r="966" spans="5:12" x14ac:dyDescent="0.25">
      <c r="E966" s="138"/>
      <c r="F966" s="138"/>
      <c r="I966" s="58"/>
      <c r="J966" s="58"/>
      <c r="K966" s="59"/>
      <c r="L966" s="59"/>
    </row>
    <row r="967" spans="5:12" x14ac:dyDescent="0.25">
      <c r="E967" s="138"/>
      <c r="F967" s="138"/>
      <c r="I967" s="58"/>
      <c r="J967" s="58"/>
      <c r="K967" s="59"/>
      <c r="L967" s="59"/>
    </row>
    <row r="968" spans="5:12" x14ac:dyDescent="0.25">
      <c r="E968" s="138"/>
      <c r="F968" s="138"/>
      <c r="I968" s="58"/>
      <c r="J968" s="58"/>
      <c r="K968" s="59"/>
      <c r="L968" s="59"/>
    </row>
    <row r="969" spans="5:12" x14ac:dyDescent="0.25">
      <c r="E969" s="138"/>
      <c r="F969" s="138"/>
      <c r="I969" s="58"/>
      <c r="J969" s="58"/>
      <c r="K969" s="59"/>
      <c r="L969" s="59"/>
    </row>
    <row r="970" spans="5:12" x14ac:dyDescent="0.25">
      <c r="E970" s="138"/>
      <c r="F970" s="138"/>
      <c r="I970" s="58"/>
      <c r="J970" s="58"/>
      <c r="K970" s="59"/>
      <c r="L970" s="59"/>
    </row>
    <row r="971" spans="5:12" x14ac:dyDescent="0.25">
      <c r="E971" s="138"/>
      <c r="F971" s="138"/>
      <c r="I971" s="58"/>
      <c r="J971" s="58"/>
      <c r="K971" s="59"/>
      <c r="L971" s="59"/>
    </row>
    <row r="972" spans="5:12" x14ac:dyDescent="0.25">
      <c r="E972" s="138"/>
      <c r="F972" s="138"/>
      <c r="I972" s="58"/>
      <c r="J972" s="58"/>
      <c r="K972" s="59"/>
      <c r="L972" s="59"/>
    </row>
    <row r="973" spans="5:12" x14ac:dyDescent="0.25">
      <c r="E973" s="138"/>
      <c r="F973" s="138"/>
      <c r="I973" s="58"/>
      <c r="J973" s="58"/>
      <c r="K973" s="59"/>
      <c r="L973" s="59"/>
    </row>
    <row r="974" spans="5:12" x14ac:dyDescent="0.25">
      <c r="E974" s="138"/>
      <c r="F974" s="138"/>
      <c r="I974" s="58"/>
      <c r="J974" s="58"/>
      <c r="K974" s="59"/>
      <c r="L974" s="59"/>
    </row>
    <row r="975" spans="5:12" x14ac:dyDescent="0.25">
      <c r="E975" s="138"/>
      <c r="F975" s="138"/>
      <c r="I975" s="58"/>
      <c r="J975" s="58"/>
      <c r="K975" s="59"/>
      <c r="L975" s="59"/>
    </row>
    <row r="976" spans="5:12" x14ac:dyDescent="0.25">
      <c r="E976" s="138"/>
      <c r="F976" s="138"/>
      <c r="I976" s="58"/>
      <c r="J976" s="58"/>
      <c r="K976" s="59"/>
      <c r="L976" s="59"/>
    </row>
    <row r="977" spans="5:12" x14ac:dyDescent="0.25">
      <c r="E977" s="138"/>
      <c r="F977" s="138"/>
      <c r="I977" s="58"/>
      <c r="J977" s="58"/>
      <c r="K977" s="59"/>
      <c r="L977" s="59"/>
    </row>
    <row r="978" spans="5:12" x14ac:dyDescent="0.25">
      <c r="E978" s="138"/>
      <c r="F978" s="138"/>
      <c r="I978" s="58"/>
      <c r="J978" s="58"/>
      <c r="K978" s="59"/>
      <c r="L978" s="59"/>
    </row>
    <row r="979" spans="5:12" x14ac:dyDescent="0.25">
      <c r="E979" s="138"/>
      <c r="F979" s="138"/>
      <c r="I979" s="58"/>
      <c r="J979" s="58"/>
      <c r="K979" s="59"/>
      <c r="L979" s="59"/>
    </row>
    <row r="980" spans="5:12" x14ac:dyDescent="0.25">
      <c r="E980" s="138"/>
      <c r="F980" s="138"/>
      <c r="I980" s="58"/>
      <c r="J980" s="58"/>
      <c r="K980" s="59"/>
      <c r="L980" s="59"/>
    </row>
    <row r="981" spans="5:12" x14ac:dyDescent="0.25">
      <c r="E981" s="138"/>
      <c r="F981" s="138"/>
      <c r="I981" s="58"/>
      <c r="J981" s="58"/>
      <c r="K981" s="59"/>
      <c r="L981" s="59"/>
    </row>
    <row r="982" spans="5:12" x14ac:dyDescent="0.25">
      <c r="E982" s="138"/>
      <c r="F982" s="138"/>
      <c r="I982" s="58"/>
      <c r="J982" s="58"/>
      <c r="K982" s="59"/>
      <c r="L982" s="59"/>
    </row>
    <row r="983" spans="5:12" x14ac:dyDescent="0.25">
      <c r="E983" s="138"/>
      <c r="F983" s="138"/>
      <c r="I983" s="58"/>
      <c r="J983" s="58"/>
      <c r="K983" s="59"/>
      <c r="L983" s="59"/>
    </row>
    <row r="984" spans="5:12" x14ac:dyDescent="0.25">
      <c r="E984" s="138"/>
      <c r="F984" s="138"/>
      <c r="I984" s="58"/>
      <c r="J984" s="58"/>
      <c r="K984" s="59"/>
      <c r="L984" s="59"/>
    </row>
    <row r="985" spans="5:12" x14ac:dyDescent="0.25">
      <c r="E985" s="138"/>
      <c r="F985" s="138"/>
      <c r="I985" s="58"/>
      <c r="J985" s="58"/>
      <c r="K985" s="59"/>
      <c r="L985" s="59"/>
    </row>
    <row r="986" spans="5:12" x14ac:dyDescent="0.25">
      <c r="E986" s="138"/>
      <c r="F986" s="138"/>
      <c r="I986" s="58"/>
      <c r="J986" s="58"/>
      <c r="K986" s="59"/>
      <c r="L986" s="59"/>
    </row>
    <row r="987" spans="5:12" x14ac:dyDescent="0.25">
      <c r="E987" s="138"/>
      <c r="F987" s="138"/>
      <c r="I987" s="58"/>
      <c r="J987" s="58"/>
      <c r="K987" s="59"/>
      <c r="L987" s="59"/>
    </row>
    <row r="988" spans="5:12" x14ac:dyDescent="0.25">
      <c r="E988" s="138"/>
      <c r="F988" s="138"/>
      <c r="I988" s="58"/>
      <c r="J988" s="58"/>
      <c r="K988" s="59"/>
      <c r="L988" s="59"/>
    </row>
    <row r="989" spans="5:12" x14ac:dyDescent="0.25">
      <c r="E989" s="138"/>
      <c r="F989" s="138"/>
      <c r="I989" s="58"/>
      <c r="J989" s="58"/>
      <c r="K989" s="59"/>
      <c r="L989" s="59"/>
    </row>
    <row r="990" spans="5:12" x14ac:dyDescent="0.25">
      <c r="E990" s="138"/>
      <c r="F990" s="138"/>
      <c r="I990" s="58"/>
      <c r="J990" s="58"/>
      <c r="K990" s="59"/>
      <c r="L990" s="59"/>
    </row>
    <row r="991" spans="5:12" x14ac:dyDescent="0.25">
      <c r="E991" s="138"/>
      <c r="F991" s="138"/>
      <c r="I991" s="58"/>
      <c r="J991" s="58"/>
      <c r="K991" s="59"/>
      <c r="L991" s="59"/>
    </row>
    <row r="992" spans="5:12" x14ac:dyDescent="0.25">
      <c r="E992" s="138"/>
      <c r="F992" s="138"/>
      <c r="I992" s="58"/>
      <c r="J992" s="58"/>
      <c r="K992" s="59"/>
      <c r="L992" s="59"/>
    </row>
    <row r="993" spans="5:12" x14ac:dyDescent="0.25">
      <c r="E993" s="138"/>
      <c r="F993" s="138"/>
      <c r="I993" s="58"/>
      <c r="J993" s="58"/>
      <c r="K993" s="59"/>
      <c r="L993" s="59"/>
    </row>
    <row r="994" spans="5:12" x14ac:dyDescent="0.25">
      <c r="E994" s="138"/>
      <c r="F994" s="138"/>
      <c r="I994" s="58"/>
      <c r="J994" s="58"/>
      <c r="K994" s="59"/>
      <c r="L994" s="59"/>
    </row>
    <row r="995" spans="5:12" x14ac:dyDescent="0.25">
      <c r="E995" s="138"/>
      <c r="F995" s="138"/>
      <c r="I995" s="58"/>
      <c r="J995" s="58"/>
      <c r="K995" s="59"/>
      <c r="L995" s="59"/>
    </row>
    <row r="996" spans="5:12" x14ac:dyDescent="0.25">
      <c r="E996" s="138"/>
      <c r="F996" s="138"/>
      <c r="I996" s="58"/>
      <c r="J996" s="58"/>
      <c r="K996" s="59"/>
      <c r="L996" s="59"/>
    </row>
    <row r="997" spans="5:12" x14ac:dyDescent="0.25">
      <c r="E997" s="138"/>
      <c r="F997" s="138"/>
      <c r="I997" s="58"/>
      <c r="J997" s="58"/>
      <c r="K997" s="59"/>
      <c r="L997" s="59"/>
    </row>
    <row r="998" spans="5:12" x14ac:dyDescent="0.25">
      <c r="E998" s="138"/>
      <c r="F998" s="138"/>
      <c r="I998" s="58"/>
      <c r="J998" s="58"/>
      <c r="K998" s="59"/>
      <c r="L998" s="59"/>
    </row>
    <row r="999" spans="5:12" x14ac:dyDescent="0.25">
      <c r="E999" s="138"/>
      <c r="F999" s="138"/>
      <c r="I999" s="58"/>
      <c r="J999" s="58"/>
      <c r="K999" s="59"/>
      <c r="L999" s="59"/>
    </row>
    <row r="1000" spans="5:12" x14ac:dyDescent="0.25">
      <c r="E1000" s="138"/>
      <c r="F1000" s="138"/>
      <c r="I1000" s="58"/>
      <c r="J1000" s="58"/>
      <c r="K1000" s="59"/>
      <c r="L1000" s="59"/>
    </row>
    <row r="1001" spans="5:12" x14ac:dyDescent="0.25">
      <c r="E1001" s="138"/>
      <c r="F1001" s="138"/>
      <c r="I1001" s="58"/>
      <c r="J1001" s="58"/>
      <c r="K1001" s="59"/>
      <c r="L1001" s="59"/>
    </row>
    <row r="1002" spans="5:12" x14ac:dyDescent="0.25">
      <c r="E1002" s="138"/>
      <c r="F1002" s="138"/>
      <c r="I1002" s="58"/>
      <c r="J1002" s="58"/>
      <c r="K1002" s="59"/>
      <c r="L1002" s="59"/>
    </row>
    <row r="1003" spans="5:12" x14ac:dyDescent="0.25">
      <c r="E1003" s="138"/>
      <c r="F1003" s="138"/>
      <c r="I1003" s="58"/>
      <c r="J1003" s="58"/>
      <c r="K1003" s="59"/>
      <c r="L1003" s="59"/>
    </row>
    <row r="1004" spans="5:12" x14ac:dyDescent="0.25">
      <c r="E1004" s="138"/>
      <c r="F1004" s="138"/>
      <c r="I1004" s="58"/>
      <c r="J1004" s="58"/>
      <c r="K1004" s="59"/>
      <c r="L1004" s="59"/>
    </row>
    <row r="1005" spans="5:12" x14ac:dyDescent="0.25">
      <c r="E1005" s="138"/>
      <c r="F1005" s="138"/>
      <c r="I1005" s="58"/>
      <c r="J1005" s="58"/>
      <c r="K1005" s="59"/>
      <c r="L1005" s="59"/>
    </row>
    <row r="1006" spans="5:12" x14ac:dyDescent="0.25">
      <c r="E1006" s="138"/>
      <c r="F1006" s="138"/>
      <c r="I1006" s="58"/>
      <c r="J1006" s="58"/>
      <c r="K1006" s="59"/>
      <c r="L1006" s="59"/>
    </row>
    <row r="1007" spans="5:12" x14ac:dyDescent="0.25">
      <c r="E1007" s="138"/>
      <c r="F1007" s="138"/>
      <c r="I1007" s="58"/>
      <c r="J1007" s="58"/>
      <c r="K1007" s="59"/>
      <c r="L1007" s="59"/>
    </row>
    <row r="1008" spans="5:12" x14ac:dyDescent="0.25">
      <c r="E1008" s="138"/>
      <c r="F1008" s="138"/>
      <c r="I1008" s="58"/>
      <c r="J1008" s="58"/>
      <c r="K1008" s="59"/>
      <c r="L1008" s="59"/>
    </row>
    <row r="1009" spans="5:12" x14ac:dyDescent="0.25">
      <c r="E1009" s="138"/>
      <c r="F1009" s="138"/>
      <c r="I1009" s="58"/>
      <c r="J1009" s="58"/>
      <c r="K1009" s="59"/>
      <c r="L1009" s="59"/>
    </row>
    <row r="1010" spans="5:12" x14ac:dyDescent="0.25">
      <c r="E1010" s="138"/>
      <c r="F1010" s="138"/>
      <c r="I1010" s="58"/>
      <c r="J1010" s="58"/>
      <c r="K1010" s="59"/>
      <c r="L1010" s="59"/>
    </row>
    <row r="1011" spans="5:12" x14ac:dyDescent="0.25">
      <c r="E1011" s="138"/>
      <c r="F1011" s="138"/>
      <c r="I1011" s="58"/>
      <c r="J1011" s="58"/>
      <c r="K1011" s="59"/>
      <c r="L1011" s="59"/>
    </row>
    <row r="1012" spans="5:12" x14ac:dyDescent="0.25">
      <c r="E1012" s="138"/>
      <c r="F1012" s="138"/>
      <c r="I1012" s="58"/>
      <c r="J1012" s="58"/>
      <c r="K1012" s="59"/>
      <c r="L1012" s="59"/>
    </row>
    <row r="1013" spans="5:12" x14ac:dyDescent="0.25">
      <c r="E1013" s="138"/>
      <c r="F1013" s="138"/>
      <c r="I1013" s="58"/>
      <c r="J1013" s="58"/>
      <c r="K1013" s="59"/>
      <c r="L1013" s="59"/>
    </row>
    <row r="1014" spans="5:12" x14ac:dyDescent="0.25">
      <c r="E1014" s="138"/>
      <c r="F1014" s="138"/>
      <c r="I1014" s="58"/>
      <c r="J1014" s="58"/>
      <c r="K1014" s="59"/>
      <c r="L1014" s="59"/>
    </row>
    <row r="1015" spans="5:12" x14ac:dyDescent="0.25">
      <c r="E1015" s="138"/>
      <c r="F1015" s="138"/>
      <c r="I1015" s="58"/>
      <c r="J1015" s="58"/>
      <c r="K1015" s="59"/>
      <c r="L1015" s="59"/>
    </row>
    <row r="1016" spans="5:12" x14ac:dyDescent="0.25">
      <c r="E1016" s="138"/>
      <c r="F1016" s="138"/>
      <c r="I1016" s="58"/>
      <c r="J1016" s="58"/>
      <c r="K1016" s="59"/>
      <c r="L1016" s="59"/>
    </row>
    <row r="1017" spans="5:12" x14ac:dyDescent="0.25">
      <c r="E1017" s="138"/>
      <c r="F1017" s="138"/>
      <c r="I1017" s="58"/>
      <c r="J1017" s="58"/>
      <c r="K1017" s="59"/>
      <c r="L1017" s="59"/>
    </row>
    <row r="1018" spans="5:12" x14ac:dyDescent="0.25">
      <c r="E1018" s="138"/>
      <c r="F1018" s="138"/>
      <c r="I1018" s="58"/>
      <c r="J1018" s="58"/>
      <c r="K1018" s="59"/>
      <c r="L1018" s="59"/>
    </row>
    <row r="1019" spans="5:12" x14ac:dyDescent="0.25">
      <c r="E1019" s="138"/>
      <c r="F1019" s="138"/>
      <c r="I1019" s="58"/>
      <c r="J1019" s="58"/>
      <c r="K1019" s="59"/>
      <c r="L1019" s="59"/>
    </row>
    <row r="1020" spans="5:12" x14ac:dyDescent="0.25">
      <c r="E1020" s="138"/>
      <c r="F1020" s="138"/>
      <c r="I1020" s="58"/>
      <c r="J1020" s="58"/>
      <c r="K1020" s="59"/>
      <c r="L1020" s="59"/>
    </row>
    <row r="1021" spans="5:12" x14ac:dyDescent="0.25">
      <c r="E1021" s="138"/>
      <c r="F1021" s="138"/>
      <c r="I1021" s="58"/>
      <c r="J1021" s="58"/>
      <c r="K1021" s="59"/>
      <c r="L1021" s="59"/>
    </row>
    <row r="1022" spans="5:12" x14ac:dyDescent="0.25">
      <c r="E1022" s="138"/>
      <c r="F1022" s="138"/>
      <c r="I1022" s="58"/>
      <c r="J1022" s="58"/>
      <c r="K1022" s="59"/>
      <c r="L1022" s="59"/>
    </row>
    <row r="1023" spans="5:12" x14ac:dyDescent="0.25">
      <c r="E1023" s="138"/>
      <c r="F1023" s="138"/>
      <c r="I1023" s="58"/>
      <c r="J1023" s="58"/>
      <c r="K1023" s="59"/>
      <c r="L1023" s="59"/>
    </row>
    <row r="1024" spans="5:12" x14ac:dyDescent="0.25">
      <c r="E1024" s="138"/>
      <c r="F1024" s="138"/>
      <c r="I1024" s="58"/>
      <c r="J1024" s="58"/>
      <c r="K1024" s="59"/>
      <c r="L1024" s="59"/>
    </row>
    <row r="1025" spans="5:12" x14ac:dyDescent="0.25">
      <c r="E1025" s="138"/>
      <c r="F1025" s="138"/>
      <c r="I1025" s="58"/>
      <c r="J1025" s="58"/>
      <c r="K1025" s="59"/>
      <c r="L1025" s="59"/>
    </row>
    <row r="1026" spans="5:12" x14ac:dyDescent="0.25">
      <c r="E1026" s="138"/>
      <c r="F1026" s="138"/>
      <c r="I1026" s="58"/>
      <c r="J1026" s="58"/>
      <c r="K1026" s="59"/>
      <c r="L1026" s="59"/>
    </row>
    <row r="1027" spans="5:12" x14ac:dyDescent="0.25">
      <c r="E1027" s="138"/>
      <c r="F1027" s="138"/>
      <c r="I1027" s="58"/>
      <c r="J1027" s="58"/>
      <c r="K1027" s="59"/>
      <c r="L1027" s="59"/>
    </row>
    <row r="1028" spans="5:12" x14ac:dyDescent="0.25">
      <c r="E1028" s="138"/>
      <c r="F1028" s="138"/>
      <c r="I1028" s="58"/>
      <c r="J1028" s="58"/>
      <c r="K1028" s="59"/>
      <c r="L1028" s="59"/>
    </row>
    <row r="1029" spans="5:12" x14ac:dyDescent="0.25">
      <c r="E1029" s="138"/>
      <c r="F1029" s="138"/>
      <c r="I1029" s="58"/>
      <c r="J1029" s="58"/>
      <c r="K1029" s="59"/>
      <c r="L1029" s="59"/>
    </row>
    <row r="1030" spans="5:12" x14ac:dyDescent="0.25">
      <c r="E1030" s="138"/>
      <c r="F1030" s="138"/>
      <c r="I1030" s="58"/>
      <c r="J1030" s="58"/>
      <c r="K1030" s="59"/>
      <c r="L1030" s="59"/>
    </row>
    <row r="1031" spans="5:12" x14ac:dyDescent="0.25">
      <c r="E1031" s="138"/>
      <c r="F1031" s="138"/>
      <c r="I1031" s="58"/>
      <c r="J1031" s="58"/>
      <c r="K1031" s="59"/>
      <c r="L1031" s="59"/>
    </row>
    <row r="1032" spans="5:12" x14ac:dyDescent="0.25">
      <c r="E1032" s="138"/>
      <c r="F1032" s="138"/>
      <c r="I1032" s="58"/>
      <c r="J1032" s="58"/>
      <c r="K1032" s="59"/>
      <c r="L1032" s="59"/>
    </row>
    <row r="1033" spans="5:12" x14ac:dyDescent="0.25">
      <c r="E1033" s="138"/>
      <c r="F1033" s="138"/>
      <c r="I1033" s="58"/>
      <c r="J1033" s="58"/>
      <c r="K1033" s="59"/>
      <c r="L1033" s="59"/>
    </row>
    <row r="1034" spans="5:12" x14ac:dyDescent="0.25">
      <c r="E1034" s="138"/>
      <c r="F1034" s="138"/>
      <c r="I1034" s="58"/>
      <c r="J1034" s="58"/>
      <c r="K1034" s="59"/>
      <c r="L1034" s="59"/>
    </row>
    <row r="1035" spans="5:12" x14ac:dyDescent="0.25">
      <c r="E1035" s="138"/>
      <c r="F1035" s="138"/>
      <c r="I1035" s="58"/>
      <c r="J1035" s="58"/>
      <c r="K1035" s="59"/>
      <c r="L1035" s="59"/>
    </row>
    <row r="1036" spans="5:12" x14ac:dyDescent="0.25">
      <c r="E1036" s="138"/>
      <c r="F1036" s="138"/>
      <c r="I1036" s="58"/>
      <c r="J1036" s="58"/>
      <c r="K1036" s="59"/>
      <c r="L1036" s="59"/>
    </row>
    <row r="1037" spans="5:12" x14ac:dyDescent="0.25">
      <c r="E1037" s="138"/>
      <c r="F1037" s="138"/>
      <c r="I1037" s="58"/>
      <c r="J1037" s="58"/>
      <c r="K1037" s="59"/>
      <c r="L1037" s="59"/>
    </row>
    <row r="1038" spans="5:12" x14ac:dyDescent="0.25">
      <c r="E1038" s="138"/>
      <c r="F1038" s="138"/>
      <c r="I1038" s="58"/>
      <c r="J1038" s="58"/>
      <c r="K1038" s="59"/>
      <c r="L1038" s="59"/>
    </row>
    <row r="1039" spans="5:12" x14ac:dyDescent="0.25">
      <c r="E1039" s="138"/>
      <c r="F1039" s="138"/>
      <c r="I1039" s="58"/>
      <c r="J1039" s="58"/>
      <c r="K1039" s="59"/>
      <c r="L1039" s="59"/>
    </row>
    <row r="1040" spans="5:12" x14ac:dyDescent="0.25">
      <c r="E1040" s="138"/>
      <c r="F1040" s="138"/>
      <c r="I1040" s="58"/>
      <c r="J1040" s="58"/>
      <c r="K1040" s="59"/>
      <c r="L1040" s="59"/>
    </row>
    <row r="1041" spans="5:12" x14ac:dyDescent="0.25">
      <c r="E1041" s="138"/>
      <c r="F1041" s="138"/>
      <c r="I1041" s="58"/>
      <c r="J1041" s="58"/>
      <c r="K1041" s="59"/>
      <c r="L1041" s="59"/>
    </row>
    <row r="1042" spans="5:12" x14ac:dyDescent="0.25">
      <c r="E1042" s="138"/>
      <c r="F1042" s="138"/>
      <c r="I1042" s="58"/>
      <c r="J1042" s="58"/>
      <c r="K1042" s="59"/>
      <c r="L1042" s="59"/>
    </row>
    <row r="1043" spans="5:12" x14ac:dyDescent="0.25">
      <c r="E1043" s="138"/>
      <c r="F1043" s="138"/>
      <c r="I1043" s="58"/>
      <c r="J1043" s="58"/>
      <c r="K1043" s="59"/>
      <c r="L1043" s="59"/>
    </row>
    <row r="1044" spans="5:12" x14ac:dyDescent="0.25">
      <c r="E1044" s="138"/>
      <c r="F1044" s="138"/>
      <c r="I1044" s="58"/>
      <c r="J1044" s="58"/>
      <c r="K1044" s="59"/>
      <c r="L1044" s="59"/>
    </row>
    <row r="1045" spans="5:12" x14ac:dyDescent="0.25">
      <c r="E1045" s="138"/>
      <c r="F1045" s="138"/>
      <c r="I1045" s="58"/>
      <c r="J1045" s="58"/>
      <c r="K1045" s="59"/>
      <c r="L1045" s="59"/>
    </row>
    <row r="1046" spans="5:12" x14ac:dyDescent="0.25">
      <c r="E1046" s="138"/>
      <c r="F1046" s="138"/>
      <c r="I1046" s="58"/>
      <c r="J1046" s="58"/>
      <c r="K1046" s="59"/>
      <c r="L1046" s="59"/>
    </row>
    <row r="1047" spans="5:12" x14ac:dyDescent="0.25">
      <c r="E1047" s="138"/>
      <c r="F1047" s="138"/>
      <c r="I1047" s="58"/>
      <c r="J1047" s="58"/>
      <c r="K1047" s="59"/>
      <c r="L1047" s="59"/>
    </row>
    <row r="1048" spans="5:12" x14ac:dyDescent="0.25">
      <c r="E1048" s="138"/>
      <c r="F1048" s="138"/>
      <c r="I1048" s="58"/>
      <c r="J1048" s="58"/>
      <c r="K1048" s="59"/>
      <c r="L1048" s="59"/>
    </row>
    <row r="1049" spans="5:12" x14ac:dyDescent="0.25">
      <c r="E1049" s="138"/>
      <c r="F1049" s="138"/>
      <c r="I1049" s="58"/>
      <c r="J1049" s="58"/>
      <c r="K1049" s="59"/>
      <c r="L1049" s="59"/>
    </row>
    <row r="1050" spans="5:12" x14ac:dyDescent="0.25">
      <c r="E1050" s="138"/>
      <c r="F1050" s="138"/>
      <c r="I1050" s="58"/>
      <c r="J1050" s="58"/>
      <c r="K1050" s="59"/>
      <c r="L1050" s="59"/>
    </row>
    <row r="1051" spans="5:12" x14ac:dyDescent="0.25">
      <c r="E1051" s="138"/>
      <c r="F1051" s="138"/>
      <c r="I1051" s="58"/>
      <c r="J1051" s="58"/>
      <c r="K1051" s="59"/>
      <c r="L1051" s="59"/>
    </row>
    <row r="1052" spans="5:12" x14ac:dyDescent="0.25">
      <c r="E1052" s="138"/>
      <c r="F1052" s="138"/>
      <c r="I1052" s="58"/>
      <c r="J1052" s="58"/>
      <c r="K1052" s="59"/>
      <c r="L1052" s="59"/>
    </row>
    <row r="1053" spans="5:12" x14ac:dyDescent="0.25">
      <c r="E1053" s="138"/>
      <c r="F1053" s="138"/>
      <c r="I1053" s="58"/>
      <c r="J1053" s="58"/>
      <c r="K1053" s="59"/>
      <c r="L1053" s="59"/>
    </row>
    <row r="1054" spans="5:12" x14ac:dyDescent="0.25">
      <c r="E1054" s="138"/>
      <c r="F1054" s="138"/>
      <c r="I1054" s="58"/>
      <c r="J1054" s="58"/>
      <c r="K1054" s="59"/>
      <c r="L1054" s="59"/>
    </row>
    <row r="1055" spans="5:12" x14ac:dyDescent="0.25">
      <c r="E1055" s="138"/>
      <c r="F1055" s="138"/>
      <c r="I1055" s="58"/>
      <c r="J1055" s="58"/>
      <c r="K1055" s="59"/>
      <c r="L1055" s="59"/>
    </row>
    <row r="1056" spans="5:12" x14ac:dyDescent="0.25">
      <c r="E1056" s="138"/>
      <c r="F1056" s="138"/>
      <c r="I1056" s="58"/>
      <c r="J1056" s="58"/>
      <c r="K1056" s="59"/>
      <c r="L1056" s="59"/>
    </row>
    <row r="1057" spans="5:12" x14ac:dyDescent="0.25">
      <c r="E1057" s="138"/>
      <c r="F1057" s="138"/>
      <c r="I1057" s="58"/>
      <c r="J1057" s="58"/>
      <c r="K1057" s="59"/>
      <c r="L1057" s="59"/>
    </row>
    <row r="1058" spans="5:12" x14ac:dyDescent="0.25">
      <c r="E1058" s="138"/>
      <c r="F1058" s="138"/>
      <c r="I1058" s="58"/>
      <c r="J1058" s="58"/>
      <c r="K1058" s="59"/>
      <c r="L1058" s="59"/>
    </row>
    <row r="1059" spans="5:12" x14ac:dyDescent="0.25">
      <c r="E1059" s="138"/>
      <c r="F1059" s="138"/>
      <c r="I1059" s="58"/>
      <c r="J1059" s="58"/>
      <c r="K1059" s="59"/>
      <c r="L1059" s="59"/>
    </row>
    <row r="1060" spans="5:12" x14ac:dyDescent="0.25">
      <c r="E1060" s="138"/>
      <c r="F1060" s="138"/>
      <c r="I1060" s="58"/>
      <c r="J1060" s="58"/>
      <c r="K1060" s="59"/>
      <c r="L1060" s="59"/>
    </row>
    <row r="1061" spans="5:12" x14ac:dyDescent="0.25">
      <c r="E1061" s="138"/>
      <c r="F1061" s="138"/>
      <c r="I1061" s="58"/>
      <c r="J1061" s="58"/>
      <c r="K1061" s="59"/>
      <c r="L1061" s="59"/>
    </row>
    <row r="1062" spans="5:12" x14ac:dyDescent="0.25">
      <c r="E1062" s="138"/>
      <c r="F1062" s="138"/>
      <c r="I1062" s="58"/>
      <c r="J1062" s="58"/>
      <c r="K1062" s="59"/>
      <c r="L1062" s="59"/>
    </row>
    <row r="1063" spans="5:12" x14ac:dyDescent="0.25">
      <c r="E1063" s="138"/>
      <c r="F1063" s="138"/>
      <c r="I1063" s="58"/>
      <c r="J1063" s="58"/>
      <c r="K1063" s="59"/>
      <c r="L1063" s="59"/>
    </row>
    <row r="1064" spans="5:12" x14ac:dyDescent="0.25">
      <c r="E1064" s="138"/>
      <c r="F1064" s="138"/>
      <c r="I1064" s="58"/>
      <c r="J1064" s="58"/>
      <c r="K1064" s="59"/>
      <c r="L1064" s="59"/>
    </row>
    <row r="1065" spans="5:12" x14ac:dyDescent="0.25">
      <c r="E1065" s="138"/>
      <c r="F1065" s="138"/>
      <c r="I1065" s="58"/>
      <c r="J1065" s="58"/>
      <c r="K1065" s="59"/>
      <c r="L1065" s="59"/>
    </row>
    <row r="1066" spans="5:12" x14ac:dyDescent="0.25">
      <c r="E1066" s="138"/>
      <c r="F1066" s="138"/>
      <c r="I1066" s="58"/>
      <c r="J1066" s="58"/>
      <c r="K1066" s="59"/>
      <c r="L1066" s="59"/>
    </row>
    <row r="1067" spans="5:12" x14ac:dyDescent="0.25">
      <c r="E1067" s="138"/>
      <c r="F1067" s="138"/>
      <c r="I1067" s="58"/>
      <c r="J1067" s="58"/>
      <c r="K1067" s="59"/>
      <c r="L1067" s="59"/>
    </row>
    <row r="1068" spans="5:12" x14ac:dyDescent="0.25">
      <c r="E1068" s="138"/>
      <c r="F1068" s="138"/>
      <c r="I1068" s="58"/>
      <c r="J1068" s="58"/>
      <c r="K1068" s="59"/>
      <c r="L1068" s="59"/>
    </row>
    <row r="1069" spans="5:12" x14ac:dyDescent="0.25">
      <c r="E1069" s="138"/>
      <c r="F1069" s="138"/>
      <c r="I1069" s="58"/>
      <c r="J1069" s="58"/>
      <c r="K1069" s="59"/>
      <c r="L1069" s="59"/>
    </row>
    <row r="1070" spans="5:12" x14ac:dyDescent="0.25">
      <c r="E1070" s="138"/>
      <c r="F1070" s="138"/>
      <c r="I1070" s="58"/>
      <c r="J1070" s="58"/>
      <c r="K1070" s="59"/>
      <c r="L1070" s="59"/>
    </row>
    <row r="1071" spans="5:12" x14ac:dyDescent="0.25">
      <c r="E1071" s="138"/>
      <c r="F1071" s="138"/>
      <c r="I1071" s="58"/>
      <c r="J1071" s="58"/>
      <c r="K1071" s="59"/>
      <c r="L1071" s="59"/>
    </row>
    <row r="1072" spans="5:12" x14ac:dyDescent="0.25">
      <c r="E1072" s="138"/>
      <c r="F1072" s="138"/>
      <c r="I1072" s="58"/>
      <c r="J1072" s="58"/>
      <c r="K1072" s="59"/>
      <c r="L1072" s="59"/>
    </row>
    <row r="1073" spans="5:12" x14ac:dyDescent="0.25">
      <c r="E1073" s="138"/>
      <c r="F1073" s="138"/>
      <c r="I1073" s="58"/>
      <c r="J1073" s="58"/>
      <c r="K1073" s="59"/>
      <c r="L1073" s="59"/>
    </row>
    <row r="1074" spans="5:12" x14ac:dyDescent="0.25">
      <c r="E1074" s="138"/>
      <c r="F1074" s="138"/>
      <c r="I1074" s="58"/>
      <c r="J1074" s="58"/>
      <c r="K1074" s="59"/>
      <c r="L1074" s="59"/>
    </row>
    <row r="1075" spans="5:12" x14ac:dyDescent="0.25">
      <c r="E1075" s="138"/>
      <c r="F1075" s="138"/>
      <c r="I1075" s="58"/>
      <c r="J1075" s="58"/>
      <c r="K1075" s="59"/>
      <c r="L1075" s="59"/>
    </row>
    <row r="1076" spans="5:12" x14ac:dyDescent="0.25">
      <c r="E1076" s="138"/>
      <c r="F1076" s="138"/>
      <c r="I1076" s="58"/>
      <c r="J1076" s="58"/>
      <c r="K1076" s="59"/>
      <c r="L1076" s="59"/>
    </row>
    <row r="1077" spans="5:12" x14ac:dyDescent="0.25">
      <c r="E1077" s="138"/>
      <c r="F1077" s="138"/>
      <c r="I1077" s="58"/>
      <c r="J1077" s="58"/>
      <c r="K1077" s="59"/>
      <c r="L1077" s="59"/>
    </row>
    <row r="1078" spans="5:12" x14ac:dyDescent="0.25">
      <c r="E1078" s="138"/>
      <c r="F1078" s="138"/>
      <c r="I1078" s="58"/>
      <c r="J1078" s="58"/>
      <c r="K1078" s="59"/>
      <c r="L1078" s="59"/>
    </row>
    <row r="1079" spans="5:12" x14ac:dyDescent="0.25">
      <c r="E1079" s="138"/>
      <c r="F1079" s="138"/>
      <c r="I1079" s="58"/>
      <c r="J1079" s="58"/>
      <c r="K1079" s="59"/>
      <c r="L1079" s="59"/>
    </row>
    <row r="1080" spans="5:12" x14ac:dyDescent="0.25">
      <c r="E1080" s="138"/>
      <c r="F1080" s="138"/>
      <c r="I1080" s="58"/>
      <c r="J1080" s="58"/>
      <c r="K1080" s="59"/>
      <c r="L1080" s="59"/>
    </row>
    <row r="1081" spans="5:12" x14ac:dyDescent="0.25">
      <c r="E1081" s="138"/>
      <c r="F1081" s="138"/>
      <c r="I1081" s="58"/>
      <c r="J1081" s="58"/>
      <c r="K1081" s="59"/>
      <c r="L1081" s="59"/>
    </row>
    <row r="1082" spans="5:12" x14ac:dyDescent="0.25">
      <c r="E1082" s="138"/>
      <c r="F1082" s="138"/>
      <c r="I1082" s="58"/>
      <c r="J1082" s="58"/>
      <c r="K1082" s="59"/>
      <c r="L1082" s="59"/>
    </row>
    <row r="1083" spans="5:12" x14ac:dyDescent="0.25">
      <c r="E1083" s="138"/>
      <c r="F1083" s="138"/>
      <c r="I1083" s="58"/>
      <c r="J1083" s="58"/>
      <c r="K1083" s="59"/>
      <c r="L1083" s="59"/>
    </row>
    <row r="1084" spans="5:12" x14ac:dyDescent="0.25">
      <c r="E1084" s="138"/>
      <c r="F1084" s="138"/>
      <c r="I1084" s="58"/>
      <c r="J1084" s="58"/>
      <c r="K1084" s="59"/>
      <c r="L1084" s="59"/>
    </row>
    <row r="1085" spans="5:12" x14ac:dyDescent="0.25">
      <c r="E1085" s="138"/>
      <c r="F1085" s="138"/>
      <c r="I1085" s="58"/>
      <c r="J1085" s="58"/>
      <c r="K1085" s="59"/>
      <c r="L1085" s="59"/>
    </row>
    <row r="1086" spans="5:12" x14ac:dyDescent="0.25">
      <c r="E1086" s="138"/>
      <c r="F1086" s="138"/>
      <c r="I1086" s="58"/>
      <c r="J1086" s="58"/>
      <c r="K1086" s="59"/>
      <c r="L1086" s="59"/>
    </row>
    <row r="1087" spans="5:12" x14ac:dyDescent="0.25">
      <c r="E1087" s="138"/>
      <c r="F1087" s="138"/>
      <c r="I1087" s="58"/>
      <c r="J1087" s="58"/>
      <c r="K1087" s="59"/>
      <c r="L1087" s="59"/>
    </row>
    <row r="1088" spans="5:12" x14ac:dyDescent="0.25">
      <c r="E1088" s="138"/>
      <c r="F1088" s="138"/>
      <c r="I1088" s="58"/>
      <c r="J1088" s="58"/>
      <c r="K1088" s="59"/>
      <c r="L1088" s="59"/>
    </row>
    <row r="1089" spans="5:12" x14ac:dyDescent="0.25">
      <c r="E1089" s="138"/>
      <c r="F1089" s="138"/>
      <c r="I1089" s="58"/>
      <c r="J1089" s="58"/>
      <c r="K1089" s="59"/>
      <c r="L1089" s="59"/>
    </row>
    <row r="1090" spans="5:12" x14ac:dyDescent="0.25">
      <c r="E1090" s="138"/>
      <c r="F1090" s="138"/>
      <c r="I1090" s="58"/>
      <c r="J1090" s="58"/>
      <c r="K1090" s="59"/>
      <c r="L1090" s="59"/>
    </row>
    <row r="1091" spans="5:12" x14ac:dyDescent="0.25">
      <c r="E1091" s="138"/>
      <c r="F1091" s="138"/>
      <c r="I1091" s="58"/>
      <c r="J1091" s="58"/>
      <c r="K1091" s="59"/>
      <c r="L1091" s="59"/>
    </row>
    <row r="1092" spans="5:12" x14ac:dyDescent="0.25">
      <c r="E1092" s="138"/>
      <c r="F1092" s="138"/>
      <c r="I1092" s="58"/>
      <c r="J1092" s="58"/>
      <c r="K1092" s="59"/>
      <c r="L1092" s="59"/>
    </row>
    <row r="1093" spans="5:12" x14ac:dyDescent="0.25">
      <c r="E1093" s="138"/>
      <c r="F1093" s="138"/>
      <c r="I1093" s="58"/>
      <c r="J1093" s="58"/>
      <c r="K1093" s="59"/>
      <c r="L1093" s="59"/>
    </row>
    <row r="1094" spans="5:12" x14ac:dyDescent="0.25">
      <c r="E1094" s="138"/>
      <c r="F1094" s="138"/>
      <c r="I1094" s="58"/>
      <c r="J1094" s="58"/>
      <c r="K1094" s="59"/>
      <c r="L1094" s="59"/>
    </row>
    <row r="1095" spans="5:12" x14ac:dyDescent="0.25">
      <c r="E1095" s="138"/>
      <c r="F1095" s="138"/>
      <c r="I1095" s="58"/>
      <c r="J1095" s="58"/>
      <c r="K1095" s="59"/>
      <c r="L1095" s="59"/>
    </row>
    <row r="1096" spans="5:12" x14ac:dyDescent="0.25">
      <c r="E1096" s="138"/>
      <c r="F1096" s="138"/>
      <c r="I1096" s="58"/>
      <c r="J1096" s="58"/>
      <c r="K1096" s="59"/>
      <c r="L1096" s="59"/>
    </row>
    <row r="1097" spans="5:12" x14ac:dyDescent="0.25">
      <c r="E1097" s="138"/>
      <c r="F1097" s="138"/>
      <c r="I1097" s="58"/>
      <c r="J1097" s="58"/>
      <c r="K1097" s="59"/>
      <c r="L1097" s="59"/>
    </row>
    <row r="1098" spans="5:12" x14ac:dyDescent="0.25">
      <c r="E1098" s="138"/>
      <c r="F1098" s="138"/>
      <c r="I1098" s="58"/>
      <c r="J1098" s="58"/>
      <c r="K1098" s="59"/>
      <c r="L1098" s="59"/>
    </row>
    <row r="1099" spans="5:12" x14ac:dyDescent="0.25">
      <c r="E1099" s="138"/>
      <c r="F1099" s="138"/>
      <c r="I1099" s="58"/>
      <c r="J1099" s="58"/>
      <c r="K1099" s="59"/>
      <c r="L1099" s="59"/>
    </row>
    <row r="1100" spans="5:12" x14ac:dyDescent="0.25">
      <c r="E1100" s="138"/>
      <c r="F1100" s="138"/>
      <c r="I1100" s="58"/>
      <c r="J1100" s="58"/>
      <c r="K1100" s="59"/>
      <c r="L1100" s="59"/>
    </row>
    <row r="1101" spans="5:12" x14ac:dyDescent="0.25">
      <c r="E1101" s="138"/>
      <c r="F1101" s="138"/>
      <c r="I1101" s="58"/>
      <c r="J1101" s="58"/>
      <c r="K1101" s="59"/>
      <c r="L1101" s="59"/>
    </row>
    <row r="1102" spans="5:12" x14ac:dyDescent="0.25">
      <c r="E1102" s="138"/>
      <c r="F1102" s="138"/>
      <c r="I1102" s="58"/>
      <c r="J1102" s="58"/>
      <c r="K1102" s="59"/>
      <c r="L1102" s="59"/>
    </row>
    <row r="1103" spans="5:12" x14ac:dyDescent="0.25">
      <c r="E1103" s="138"/>
      <c r="F1103" s="138"/>
      <c r="I1103" s="58"/>
      <c r="J1103" s="58"/>
      <c r="K1103" s="59"/>
      <c r="L1103" s="59"/>
    </row>
    <row r="1104" spans="5:12" x14ac:dyDescent="0.25">
      <c r="E1104" s="138"/>
      <c r="F1104" s="138"/>
      <c r="I1104" s="58"/>
      <c r="J1104" s="58"/>
      <c r="K1104" s="59"/>
      <c r="L1104" s="59"/>
    </row>
    <row r="1105" spans="5:12" x14ac:dyDescent="0.25">
      <c r="E1105" s="138"/>
      <c r="F1105" s="138"/>
      <c r="I1105" s="58"/>
      <c r="J1105" s="58"/>
      <c r="K1105" s="59"/>
      <c r="L1105" s="59"/>
    </row>
    <row r="1106" spans="5:12" x14ac:dyDescent="0.25">
      <c r="E1106" s="138"/>
      <c r="F1106" s="138"/>
      <c r="I1106" s="58"/>
      <c r="J1106" s="58"/>
      <c r="K1106" s="59"/>
      <c r="L1106" s="59"/>
    </row>
    <row r="1107" spans="5:12" x14ac:dyDescent="0.25">
      <c r="E1107" s="138"/>
      <c r="F1107" s="138"/>
      <c r="I1107" s="58"/>
      <c r="J1107" s="58"/>
      <c r="K1107" s="59"/>
      <c r="L1107" s="59"/>
    </row>
    <row r="1108" spans="5:12" x14ac:dyDescent="0.25">
      <c r="E1108" s="138"/>
      <c r="F1108" s="138"/>
      <c r="I1108" s="58"/>
      <c r="J1108" s="58"/>
      <c r="K1108" s="59"/>
      <c r="L1108" s="59"/>
    </row>
    <row r="1109" spans="5:12" x14ac:dyDescent="0.25">
      <c r="E1109" s="138"/>
      <c r="F1109" s="138"/>
      <c r="I1109" s="58"/>
      <c r="J1109" s="58"/>
      <c r="K1109" s="59"/>
      <c r="L1109" s="59"/>
    </row>
    <row r="1110" spans="5:12" x14ac:dyDescent="0.25">
      <c r="E1110" s="138"/>
      <c r="F1110" s="138"/>
      <c r="I1110" s="58"/>
      <c r="J1110" s="58"/>
      <c r="K1110" s="59"/>
      <c r="L1110" s="59"/>
    </row>
    <row r="1111" spans="5:12" x14ac:dyDescent="0.25">
      <c r="E1111" s="138"/>
      <c r="F1111" s="138"/>
      <c r="I1111" s="58"/>
      <c r="J1111" s="58"/>
      <c r="K1111" s="59"/>
      <c r="L1111" s="59"/>
    </row>
    <row r="1112" spans="5:12" x14ac:dyDescent="0.25">
      <c r="E1112" s="138"/>
      <c r="F1112" s="138"/>
      <c r="I1112" s="58"/>
      <c r="J1112" s="58"/>
      <c r="K1112" s="59"/>
      <c r="L1112" s="59"/>
    </row>
    <row r="1113" spans="5:12" x14ac:dyDescent="0.25">
      <c r="E1113" s="138"/>
      <c r="F1113" s="138"/>
      <c r="I1113" s="58"/>
      <c r="J1113" s="58"/>
      <c r="K1113" s="59"/>
      <c r="L1113" s="59"/>
    </row>
    <row r="1114" spans="5:12" x14ac:dyDescent="0.25">
      <c r="E1114" s="138"/>
      <c r="F1114" s="138"/>
      <c r="I1114" s="58"/>
      <c r="J1114" s="58"/>
      <c r="K1114" s="59"/>
      <c r="L1114" s="59"/>
    </row>
    <row r="1115" spans="5:12" x14ac:dyDescent="0.25">
      <c r="E1115" s="138"/>
      <c r="F1115" s="138"/>
      <c r="I1115" s="58"/>
      <c r="J1115" s="58"/>
      <c r="K1115" s="59"/>
      <c r="L1115" s="59"/>
    </row>
    <row r="1116" spans="5:12" x14ac:dyDescent="0.25">
      <c r="E1116" s="138"/>
      <c r="F1116" s="138"/>
      <c r="I1116" s="58"/>
      <c r="J1116" s="58"/>
      <c r="K1116" s="59"/>
      <c r="L1116" s="59"/>
    </row>
    <row r="1117" spans="5:12" x14ac:dyDescent="0.25">
      <c r="E1117" s="138"/>
      <c r="F1117" s="138"/>
      <c r="I1117" s="58"/>
      <c r="J1117" s="58"/>
      <c r="K1117" s="59"/>
      <c r="L1117" s="59"/>
    </row>
    <row r="1118" spans="5:12" x14ac:dyDescent="0.25">
      <c r="E1118" s="138"/>
      <c r="F1118" s="138"/>
      <c r="I1118" s="58"/>
      <c r="J1118" s="58"/>
      <c r="K1118" s="59"/>
      <c r="L1118" s="59"/>
    </row>
    <row r="1119" spans="5:12" x14ac:dyDescent="0.25">
      <c r="E1119" s="138"/>
      <c r="F1119" s="138"/>
      <c r="I1119" s="58"/>
      <c r="J1119" s="58"/>
      <c r="K1119" s="59"/>
      <c r="L1119" s="59"/>
    </row>
    <row r="1120" spans="5:12" x14ac:dyDescent="0.25">
      <c r="E1120" s="138"/>
      <c r="F1120" s="138"/>
      <c r="I1120" s="58"/>
      <c r="J1120" s="58"/>
      <c r="K1120" s="59"/>
      <c r="L1120" s="59"/>
    </row>
    <row r="1121" spans="5:12" x14ac:dyDescent="0.25">
      <c r="E1121" s="138"/>
      <c r="F1121" s="138"/>
      <c r="I1121" s="58"/>
      <c r="J1121" s="58"/>
      <c r="K1121" s="59"/>
      <c r="L1121" s="59"/>
    </row>
    <row r="1122" spans="5:12" x14ac:dyDescent="0.25">
      <c r="E1122" s="138"/>
      <c r="F1122" s="138"/>
      <c r="I1122" s="58"/>
      <c r="J1122" s="58"/>
      <c r="K1122" s="59"/>
      <c r="L1122" s="59"/>
    </row>
    <row r="1123" spans="5:12" x14ac:dyDescent="0.25">
      <c r="E1123" s="138"/>
      <c r="F1123" s="138"/>
      <c r="I1123" s="58"/>
      <c r="J1123" s="58"/>
      <c r="K1123" s="59"/>
      <c r="L1123" s="59"/>
    </row>
    <row r="1124" spans="5:12" x14ac:dyDescent="0.25">
      <c r="E1124" s="138"/>
      <c r="F1124" s="138"/>
      <c r="I1124" s="58"/>
      <c r="J1124" s="58"/>
      <c r="K1124" s="59"/>
      <c r="L1124" s="59"/>
    </row>
    <row r="1125" spans="5:12" x14ac:dyDescent="0.25">
      <c r="E1125" s="138"/>
      <c r="F1125" s="138"/>
      <c r="I1125" s="58"/>
      <c r="J1125" s="58"/>
      <c r="K1125" s="59"/>
      <c r="L1125" s="59"/>
    </row>
    <row r="1126" spans="5:12" x14ac:dyDescent="0.25">
      <c r="E1126" s="138"/>
      <c r="F1126" s="138"/>
      <c r="I1126" s="58"/>
      <c r="J1126" s="58"/>
      <c r="K1126" s="59"/>
      <c r="L1126" s="59"/>
    </row>
    <row r="1127" spans="5:12" x14ac:dyDescent="0.25">
      <c r="E1127" s="138"/>
      <c r="F1127" s="138"/>
      <c r="I1127" s="58"/>
      <c r="J1127" s="58"/>
      <c r="K1127" s="59"/>
      <c r="L1127" s="59"/>
    </row>
    <row r="1128" spans="5:12" x14ac:dyDescent="0.25">
      <c r="E1128" s="138"/>
      <c r="F1128" s="138"/>
      <c r="I1128" s="58"/>
      <c r="J1128" s="58"/>
      <c r="K1128" s="59"/>
      <c r="L1128" s="59"/>
    </row>
    <row r="1129" spans="5:12" x14ac:dyDescent="0.25">
      <c r="E1129" s="138"/>
      <c r="F1129" s="138"/>
      <c r="I1129" s="58"/>
      <c r="J1129" s="58"/>
      <c r="K1129" s="59"/>
      <c r="L1129" s="59"/>
    </row>
    <row r="1130" spans="5:12" x14ac:dyDescent="0.25">
      <c r="E1130" s="138"/>
      <c r="F1130" s="138"/>
      <c r="I1130" s="58"/>
      <c r="J1130" s="58"/>
      <c r="K1130" s="59"/>
      <c r="L1130" s="59"/>
    </row>
    <row r="1131" spans="5:12" x14ac:dyDescent="0.25">
      <c r="E1131" s="138"/>
      <c r="F1131" s="138"/>
      <c r="I1131" s="58"/>
      <c r="J1131" s="58"/>
      <c r="K1131" s="59"/>
      <c r="L1131" s="59"/>
    </row>
    <row r="1132" spans="5:12" x14ac:dyDescent="0.25">
      <c r="E1132" s="138"/>
      <c r="F1132" s="138"/>
      <c r="I1132" s="58"/>
      <c r="J1132" s="58"/>
      <c r="K1132" s="59"/>
      <c r="L1132" s="59"/>
    </row>
    <row r="1133" spans="5:12" x14ac:dyDescent="0.25">
      <c r="E1133" s="138"/>
      <c r="F1133" s="138"/>
      <c r="I1133" s="58"/>
      <c r="J1133" s="58"/>
      <c r="K1133" s="59"/>
      <c r="L1133" s="59"/>
    </row>
    <row r="1134" spans="5:12" x14ac:dyDescent="0.25">
      <c r="E1134" s="138"/>
      <c r="F1134" s="138"/>
      <c r="I1134" s="58"/>
      <c r="J1134" s="58"/>
      <c r="K1134" s="59"/>
      <c r="L1134" s="59"/>
    </row>
    <row r="1135" spans="5:12" x14ac:dyDescent="0.25">
      <c r="E1135" s="138"/>
      <c r="F1135" s="138"/>
      <c r="I1135" s="58"/>
      <c r="J1135" s="58"/>
      <c r="K1135" s="59"/>
      <c r="L1135" s="59"/>
    </row>
    <row r="1136" spans="5:12" x14ac:dyDescent="0.25">
      <c r="E1136" s="138"/>
      <c r="F1136" s="138"/>
      <c r="I1136" s="58"/>
      <c r="J1136" s="58"/>
      <c r="K1136" s="59"/>
      <c r="L1136" s="59"/>
    </row>
    <row r="1137" spans="5:12" x14ac:dyDescent="0.25">
      <c r="E1137" s="138"/>
      <c r="F1137" s="138"/>
      <c r="I1137" s="58"/>
      <c r="J1137" s="58"/>
      <c r="K1137" s="59"/>
      <c r="L1137" s="59"/>
    </row>
    <row r="1138" spans="5:12" x14ac:dyDescent="0.25">
      <c r="E1138" s="138"/>
      <c r="F1138" s="138"/>
      <c r="I1138" s="58"/>
      <c r="J1138" s="58"/>
      <c r="K1138" s="59"/>
      <c r="L1138" s="59"/>
    </row>
    <row r="1139" spans="5:12" x14ac:dyDescent="0.25">
      <c r="E1139" s="138"/>
      <c r="F1139" s="138"/>
      <c r="I1139" s="58"/>
      <c r="J1139" s="58"/>
      <c r="K1139" s="59"/>
      <c r="L1139" s="59"/>
    </row>
    <row r="1140" spans="5:12" x14ac:dyDescent="0.25">
      <c r="E1140" s="138"/>
      <c r="F1140" s="138"/>
      <c r="I1140" s="58"/>
      <c r="J1140" s="58"/>
      <c r="K1140" s="59"/>
      <c r="L1140" s="59"/>
    </row>
    <row r="1141" spans="5:12" x14ac:dyDescent="0.25">
      <c r="E1141" s="138"/>
      <c r="F1141" s="138"/>
      <c r="I1141" s="58"/>
      <c r="J1141" s="58"/>
      <c r="K1141" s="59"/>
      <c r="L1141" s="59"/>
    </row>
    <row r="1142" spans="5:12" x14ac:dyDescent="0.25">
      <c r="E1142" s="138"/>
      <c r="F1142" s="138"/>
      <c r="I1142" s="58"/>
      <c r="J1142" s="58"/>
      <c r="K1142" s="59"/>
      <c r="L1142" s="59"/>
    </row>
    <row r="1143" spans="5:12" x14ac:dyDescent="0.25">
      <c r="E1143" s="138"/>
      <c r="F1143" s="138"/>
      <c r="I1143" s="58"/>
      <c r="J1143" s="58"/>
      <c r="K1143" s="59"/>
      <c r="L1143" s="59"/>
    </row>
    <row r="1144" spans="5:12" x14ac:dyDescent="0.25">
      <c r="E1144" s="138"/>
      <c r="F1144" s="138"/>
      <c r="I1144" s="58"/>
      <c r="J1144" s="58"/>
      <c r="K1144" s="59"/>
      <c r="L1144" s="59"/>
    </row>
    <row r="1145" spans="5:12" x14ac:dyDescent="0.25">
      <c r="E1145" s="138"/>
      <c r="F1145" s="138"/>
      <c r="I1145" s="58"/>
      <c r="J1145" s="58"/>
      <c r="K1145" s="59"/>
      <c r="L1145" s="59"/>
    </row>
    <row r="1146" spans="5:12" x14ac:dyDescent="0.25">
      <c r="E1146" s="138"/>
      <c r="F1146" s="138"/>
      <c r="I1146" s="58"/>
      <c r="J1146" s="58"/>
      <c r="K1146" s="59"/>
      <c r="L1146" s="59"/>
    </row>
    <row r="1147" spans="5:12" x14ac:dyDescent="0.25">
      <c r="E1147" s="138"/>
      <c r="F1147" s="138"/>
      <c r="I1147" s="58"/>
      <c r="J1147" s="58"/>
      <c r="K1147" s="59"/>
      <c r="L1147" s="59"/>
    </row>
    <row r="1148" spans="5:12" x14ac:dyDescent="0.25">
      <c r="E1148" s="138"/>
      <c r="F1148" s="138"/>
      <c r="I1148" s="58"/>
      <c r="J1148" s="58"/>
      <c r="K1148" s="59"/>
      <c r="L1148" s="59"/>
    </row>
    <row r="1149" spans="5:12" x14ac:dyDescent="0.25">
      <c r="E1149" s="138"/>
      <c r="F1149" s="138"/>
      <c r="I1149" s="58"/>
      <c r="J1149" s="58"/>
      <c r="K1149" s="59"/>
      <c r="L1149" s="59"/>
    </row>
    <row r="1150" spans="5:12" x14ac:dyDescent="0.25">
      <c r="E1150" s="138"/>
      <c r="F1150" s="138"/>
      <c r="I1150" s="58"/>
      <c r="J1150" s="58"/>
      <c r="K1150" s="59"/>
      <c r="L1150" s="59"/>
    </row>
    <row r="1151" spans="5:12" x14ac:dyDescent="0.25">
      <c r="E1151" s="138"/>
      <c r="F1151" s="138"/>
      <c r="I1151" s="58"/>
      <c r="J1151" s="58"/>
      <c r="K1151" s="59"/>
      <c r="L1151" s="59"/>
    </row>
    <row r="1152" spans="5:12" x14ac:dyDescent="0.25">
      <c r="E1152" s="138"/>
      <c r="F1152" s="138"/>
      <c r="I1152" s="58"/>
      <c r="J1152" s="58"/>
      <c r="K1152" s="59"/>
      <c r="L1152" s="59"/>
    </row>
    <row r="1153" spans="5:12" x14ac:dyDescent="0.25">
      <c r="E1153" s="138"/>
      <c r="F1153" s="138"/>
      <c r="I1153" s="58"/>
      <c r="J1153" s="58"/>
      <c r="K1153" s="59"/>
      <c r="L1153" s="59"/>
    </row>
    <row r="1154" spans="5:12" x14ac:dyDescent="0.25">
      <c r="E1154" s="138"/>
      <c r="F1154" s="138"/>
      <c r="I1154" s="58"/>
      <c r="J1154" s="58"/>
      <c r="K1154" s="59"/>
      <c r="L1154" s="59"/>
    </row>
    <row r="1155" spans="5:12" x14ac:dyDescent="0.25">
      <c r="E1155" s="138"/>
      <c r="F1155" s="138"/>
      <c r="I1155" s="58"/>
      <c r="J1155" s="58"/>
      <c r="K1155" s="59"/>
      <c r="L1155" s="59"/>
    </row>
    <row r="1156" spans="5:12" x14ac:dyDescent="0.25">
      <c r="E1156" s="138"/>
      <c r="F1156" s="138"/>
      <c r="I1156" s="58"/>
      <c r="J1156" s="58"/>
      <c r="K1156" s="59"/>
      <c r="L1156" s="59"/>
    </row>
    <row r="1157" spans="5:12" x14ac:dyDescent="0.25">
      <c r="E1157" s="138"/>
      <c r="F1157" s="138"/>
      <c r="I1157" s="58"/>
      <c r="J1157" s="58"/>
      <c r="K1157" s="59"/>
      <c r="L1157" s="59"/>
    </row>
    <row r="1158" spans="5:12" x14ac:dyDescent="0.25">
      <c r="E1158" s="138"/>
      <c r="F1158" s="138"/>
      <c r="I1158" s="58"/>
      <c r="J1158" s="58"/>
      <c r="K1158" s="59"/>
      <c r="L1158" s="59"/>
    </row>
    <row r="1159" spans="5:12" x14ac:dyDescent="0.25">
      <c r="E1159" s="138"/>
      <c r="F1159" s="138"/>
      <c r="I1159" s="58"/>
      <c r="J1159" s="58"/>
      <c r="K1159" s="59"/>
      <c r="L1159" s="59"/>
    </row>
    <row r="1160" spans="5:12" x14ac:dyDescent="0.25">
      <c r="E1160" s="138"/>
      <c r="F1160" s="138"/>
      <c r="I1160" s="58"/>
      <c r="J1160" s="58"/>
      <c r="K1160" s="59"/>
      <c r="L1160" s="59"/>
    </row>
    <row r="1161" spans="5:12" x14ac:dyDescent="0.25">
      <c r="E1161" s="138"/>
      <c r="F1161" s="138"/>
      <c r="I1161" s="58"/>
      <c r="J1161" s="58"/>
      <c r="K1161" s="59"/>
      <c r="L1161" s="59"/>
    </row>
    <row r="1162" spans="5:12" x14ac:dyDescent="0.25">
      <c r="E1162" s="138"/>
      <c r="F1162" s="138"/>
      <c r="I1162" s="58"/>
      <c r="J1162" s="58"/>
      <c r="K1162" s="59"/>
      <c r="L1162" s="59"/>
    </row>
    <row r="1163" spans="5:12" x14ac:dyDescent="0.25">
      <c r="E1163" s="138"/>
      <c r="F1163" s="138"/>
      <c r="I1163" s="58"/>
      <c r="J1163" s="58"/>
      <c r="K1163" s="59"/>
      <c r="L1163" s="59"/>
    </row>
    <row r="1164" spans="5:12" x14ac:dyDescent="0.25">
      <c r="E1164" s="138"/>
      <c r="F1164" s="138"/>
      <c r="I1164" s="58"/>
      <c r="J1164" s="58"/>
      <c r="K1164" s="59"/>
      <c r="L1164" s="59"/>
    </row>
    <row r="1165" spans="5:12" x14ac:dyDescent="0.25">
      <c r="E1165" s="138"/>
      <c r="F1165" s="138"/>
      <c r="I1165" s="58"/>
      <c r="J1165" s="58"/>
      <c r="K1165" s="59"/>
      <c r="L1165" s="59"/>
    </row>
    <row r="1166" spans="5:12" x14ac:dyDescent="0.25">
      <c r="E1166" s="138"/>
      <c r="F1166" s="138"/>
      <c r="I1166" s="58"/>
      <c r="J1166" s="58"/>
      <c r="K1166" s="59"/>
      <c r="L1166" s="59"/>
    </row>
    <row r="1167" spans="5:12" x14ac:dyDescent="0.25">
      <c r="E1167" s="138"/>
      <c r="F1167" s="138"/>
      <c r="I1167" s="58"/>
      <c r="J1167" s="58"/>
      <c r="K1167" s="59"/>
      <c r="L1167" s="59"/>
    </row>
    <row r="1168" spans="5:12" x14ac:dyDescent="0.25">
      <c r="E1168" s="138"/>
      <c r="F1168" s="138"/>
      <c r="I1168" s="58"/>
      <c r="J1168" s="58"/>
      <c r="K1168" s="59"/>
      <c r="L1168" s="59"/>
    </row>
    <row r="1169" spans="5:12" x14ac:dyDescent="0.25">
      <c r="E1169" s="138"/>
      <c r="F1169" s="138"/>
      <c r="I1169" s="58"/>
      <c r="J1169" s="58"/>
      <c r="K1169" s="59"/>
      <c r="L1169" s="59"/>
    </row>
    <row r="1170" spans="5:12" x14ac:dyDescent="0.25">
      <c r="E1170" s="138"/>
      <c r="F1170" s="138"/>
      <c r="I1170" s="58"/>
      <c r="J1170" s="58"/>
      <c r="K1170" s="59"/>
      <c r="L1170" s="59"/>
    </row>
    <row r="1171" spans="5:12" x14ac:dyDescent="0.25">
      <c r="E1171" s="138"/>
      <c r="F1171" s="138"/>
      <c r="I1171" s="58"/>
      <c r="J1171" s="58"/>
      <c r="K1171" s="59"/>
      <c r="L1171" s="59"/>
    </row>
    <row r="1172" spans="5:12" x14ac:dyDescent="0.25">
      <c r="E1172" s="138"/>
      <c r="F1172" s="138"/>
      <c r="I1172" s="58"/>
      <c r="J1172" s="58"/>
      <c r="K1172" s="59"/>
      <c r="L1172" s="59"/>
    </row>
    <row r="1173" spans="5:12" x14ac:dyDescent="0.25">
      <c r="E1173" s="138"/>
      <c r="F1173" s="138"/>
      <c r="I1173" s="58"/>
      <c r="J1173" s="58"/>
      <c r="K1173" s="59"/>
      <c r="L1173" s="59"/>
    </row>
    <row r="1174" spans="5:12" x14ac:dyDescent="0.25">
      <c r="E1174" s="138"/>
      <c r="F1174" s="138"/>
      <c r="I1174" s="58"/>
      <c r="J1174" s="58"/>
      <c r="K1174" s="59"/>
      <c r="L1174" s="59"/>
    </row>
    <row r="1175" spans="5:12" x14ac:dyDescent="0.25">
      <c r="E1175" s="138"/>
      <c r="F1175" s="138"/>
      <c r="I1175" s="58"/>
      <c r="J1175" s="58"/>
      <c r="K1175" s="59"/>
      <c r="L1175" s="59"/>
    </row>
    <row r="1176" spans="5:12" x14ac:dyDescent="0.25">
      <c r="E1176" s="138"/>
      <c r="F1176" s="138"/>
      <c r="I1176" s="58"/>
      <c r="J1176" s="58"/>
      <c r="K1176" s="59"/>
      <c r="L1176" s="59"/>
    </row>
    <row r="1177" spans="5:12" x14ac:dyDescent="0.25">
      <c r="E1177" s="138"/>
      <c r="F1177" s="138"/>
      <c r="I1177" s="58"/>
      <c r="J1177" s="58"/>
      <c r="K1177" s="59"/>
      <c r="L1177" s="59"/>
    </row>
    <row r="1178" spans="5:12" x14ac:dyDescent="0.25">
      <c r="E1178" s="138"/>
      <c r="F1178" s="138"/>
      <c r="I1178" s="58"/>
      <c r="J1178" s="58"/>
      <c r="K1178" s="59"/>
      <c r="L1178" s="59"/>
    </row>
    <row r="1179" spans="5:12" x14ac:dyDescent="0.25">
      <c r="E1179" s="138"/>
      <c r="F1179" s="138"/>
      <c r="I1179" s="58"/>
      <c r="J1179" s="58"/>
      <c r="K1179" s="59"/>
      <c r="L1179" s="59"/>
    </row>
    <row r="1180" spans="5:12" x14ac:dyDescent="0.25">
      <c r="E1180" s="138"/>
      <c r="F1180" s="138"/>
      <c r="I1180" s="58"/>
      <c r="J1180" s="58"/>
      <c r="K1180" s="59"/>
      <c r="L1180" s="59"/>
    </row>
    <row r="1181" spans="5:12" x14ac:dyDescent="0.25">
      <c r="E1181" s="138"/>
      <c r="F1181" s="138"/>
      <c r="I1181" s="58"/>
      <c r="J1181" s="58"/>
      <c r="K1181" s="59"/>
      <c r="L1181" s="59"/>
    </row>
    <row r="1182" spans="5:12" x14ac:dyDescent="0.25">
      <c r="E1182" s="138"/>
      <c r="F1182" s="138"/>
      <c r="I1182" s="58"/>
      <c r="J1182" s="58"/>
      <c r="K1182" s="59"/>
      <c r="L1182" s="59"/>
    </row>
    <row r="1183" spans="5:12" x14ac:dyDescent="0.25">
      <c r="E1183" s="138"/>
      <c r="F1183" s="138"/>
      <c r="I1183" s="58"/>
      <c r="J1183" s="58"/>
      <c r="K1183" s="59"/>
      <c r="L1183" s="59"/>
    </row>
    <row r="1184" spans="5:12" x14ac:dyDescent="0.25">
      <c r="E1184" s="138"/>
      <c r="F1184" s="138"/>
      <c r="I1184" s="58"/>
      <c r="J1184" s="58"/>
      <c r="K1184" s="59"/>
      <c r="L1184" s="59"/>
    </row>
    <row r="1185" spans="5:12" x14ac:dyDescent="0.25">
      <c r="E1185" s="138"/>
      <c r="F1185" s="138"/>
      <c r="I1185" s="58"/>
      <c r="J1185" s="58"/>
      <c r="K1185" s="59"/>
      <c r="L1185" s="59"/>
    </row>
    <row r="1186" spans="5:12" x14ac:dyDescent="0.25">
      <c r="E1186" s="138"/>
      <c r="F1186" s="138"/>
      <c r="I1186" s="58"/>
      <c r="J1186" s="58"/>
      <c r="K1186" s="59"/>
      <c r="L1186" s="59"/>
    </row>
    <row r="1187" spans="5:12" x14ac:dyDescent="0.25">
      <c r="E1187" s="138"/>
      <c r="F1187" s="138"/>
      <c r="I1187" s="58"/>
      <c r="J1187" s="58"/>
      <c r="K1187" s="59"/>
      <c r="L1187" s="59"/>
    </row>
    <row r="1188" spans="5:12" x14ac:dyDescent="0.25">
      <c r="E1188" s="138"/>
      <c r="F1188" s="138"/>
      <c r="I1188" s="58"/>
      <c r="J1188" s="58"/>
      <c r="K1188" s="59"/>
      <c r="L1188" s="59"/>
    </row>
    <row r="1189" spans="5:12" x14ac:dyDescent="0.25">
      <c r="E1189" s="138"/>
      <c r="F1189" s="138"/>
      <c r="I1189" s="58"/>
      <c r="J1189" s="58"/>
      <c r="K1189" s="59"/>
      <c r="L1189" s="59"/>
    </row>
    <row r="1190" spans="5:12" x14ac:dyDescent="0.25">
      <c r="E1190" s="138"/>
      <c r="F1190" s="138"/>
      <c r="I1190" s="58"/>
      <c r="J1190" s="58"/>
      <c r="K1190" s="59"/>
      <c r="L1190" s="59"/>
    </row>
    <row r="1191" spans="5:12" x14ac:dyDescent="0.25">
      <c r="E1191" s="138"/>
      <c r="F1191" s="138"/>
      <c r="I1191" s="58"/>
      <c r="J1191" s="58"/>
      <c r="K1191" s="59"/>
      <c r="L1191" s="59"/>
    </row>
    <row r="1192" spans="5:12" x14ac:dyDescent="0.25">
      <c r="E1192" s="138"/>
      <c r="F1192" s="138"/>
      <c r="I1192" s="58"/>
      <c r="J1192" s="58"/>
      <c r="K1192" s="59"/>
      <c r="L1192" s="59"/>
    </row>
    <row r="1193" spans="5:12" x14ac:dyDescent="0.25">
      <c r="E1193" s="138"/>
      <c r="F1193" s="138"/>
      <c r="I1193" s="58"/>
      <c r="J1193" s="58"/>
      <c r="K1193" s="59"/>
      <c r="L1193" s="59"/>
    </row>
    <row r="1194" spans="5:12" x14ac:dyDescent="0.25">
      <c r="E1194" s="138"/>
      <c r="F1194" s="138"/>
      <c r="I1194" s="58"/>
      <c r="J1194" s="58"/>
      <c r="K1194" s="59"/>
      <c r="L1194" s="59"/>
    </row>
    <row r="1195" spans="5:12" x14ac:dyDescent="0.25">
      <c r="E1195" s="138"/>
      <c r="F1195" s="138"/>
      <c r="I1195" s="58"/>
      <c r="J1195" s="58"/>
      <c r="K1195" s="59"/>
      <c r="L1195" s="59"/>
    </row>
    <row r="1196" spans="5:12" x14ac:dyDescent="0.25">
      <c r="E1196" s="138"/>
      <c r="F1196" s="138"/>
      <c r="I1196" s="58"/>
      <c r="J1196" s="58"/>
      <c r="K1196" s="59"/>
      <c r="L1196" s="59"/>
    </row>
    <row r="1197" spans="5:12" x14ac:dyDescent="0.25">
      <c r="E1197" s="138"/>
      <c r="F1197" s="138"/>
      <c r="I1197" s="58"/>
      <c r="J1197" s="58"/>
      <c r="K1197" s="59"/>
      <c r="L1197" s="59"/>
    </row>
    <row r="1198" spans="5:12" x14ac:dyDescent="0.25">
      <c r="E1198" s="138"/>
      <c r="F1198" s="138"/>
      <c r="I1198" s="58"/>
      <c r="J1198" s="58"/>
      <c r="K1198" s="59"/>
      <c r="L1198" s="59"/>
    </row>
    <row r="1199" spans="5:12" x14ac:dyDescent="0.25">
      <c r="E1199" s="138"/>
      <c r="F1199" s="138"/>
      <c r="I1199" s="58"/>
      <c r="J1199" s="58"/>
      <c r="K1199" s="59"/>
      <c r="L1199" s="59"/>
    </row>
    <row r="1200" spans="5:12" x14ac:dyDescent="0.25">
      <c r="E1200" s="138"/>
      <c r="F1200" s="138"/>
      <c r="I1200" s="58"/>
      <c r="J1200" s="58"/>
      <c r="K1200" s="59"/>
      <c r="L1200" s="59"/>
    </row>
    <row r="1201" spans="5:12" x14ac:dyDescent="0.25">
      <c r="E1201" s="138"/>
      <c r="F1201" s="138"/>
      <c r="I1201" s="58"/>
      <c r="J1201" s="58"/>
      <c r="K1201" s="59"/>
      <c r="L1201" s="59"/>
    </row>
    <row r="1202" spans="5:12" x14ac:dyDescent="0.25">
      <c r="E1202" s="138"/>
      <c r="F1202" s="138"/>
      <c r="I1202" s="58"/>
      <c r="J1202" s="58"/>
      <c r="K1202" s="59"/>
      <c r="L1202" s="59"/>
    </row>
    <row r="1203" spans="5:12" x14ac:dyDescent="0.25">
      <c r="E1203" s="138"/>
      <c r="F1203" s="138"/>
      <c r="I1203" s="58"/>
      <c r="J1203" s="58"/>
      <c r="K1203" s="59"/>
      <c r="L1203" s="59"/>
    </row>
    <row r="1204" spans="5:12" x14ac:dyDescent="0.25">
      <c r="E1204" s="138"/>
      <c r="F1204" s="138"/>
      <c r="I1204" s="58"/>
      <c r="J1204" s="58"/>
      <c r="K1204" s="59"/>
      <c r="L1204" s="59"/>
    </row>
    <row r="1205" spans="5:12" x14ac:dyDescent="0.25">
      <c r="E1205" s="138"/>
      <c r="F1205" s="138"/>
      <c r="I1205" s="58"/>
      <c r="J1205" s="58"/>
      <c r="K1205" s="59"/>
      <c r="L1205" s="59"/>
    </row>
    <row r="1206" spans="5:12" x14ac:dyDescent="0.25">
      <c r="E1206" s="138"/>
      <c r="F1206" s="138"/>
      <c r="I1206" s="58"/>
      <c r="J1206" s="58"/>
      <c r="K1206" s="59"/>
      <c r="L1206" s="59"/>
    </row>
    <row r="1207" spans="5:12" x14ac:dyDescent="0.25">
      <c r="E1207" s="138"/>
      <c r="F1207" s="138"/>
      <c r="I1207" s="58"/>
      <c r="J1207" s="58"/>
      <c r="K1207" s="59"/>
      <c r="L1207" s="59"/>
    </row>
    <row r="1208" spans="5:12" x14ac:dyDescent="0.25">
      <c r="E1208" s="138"/>
      <c r="F1208" s="138"/>
      <c r="I1208" s="58"/>
      <c r="J1208" s="58"/>
      <c r="K1208" s="59"/>
      <c r="L1208" s="59"/>
    </row>
    <row r="1209" spans="5:12" x14ac:dyDescent="0.25">
      <c r="E1209" s="138"/>
      <c r="F1209" s="138"/>
      <c r="I1209" s="58"/>
      <c r="J1209" s="58"/>
      <c r="K1209" s="59"/>
      <c r="L1209" s="59"/>
    </row>
    <row r="1210" spans="5:12" x14ac:dyDescent="0.25">
      <c r="E1210" s="138"/>
      <c r="F1210" s="138"/>
      <c r="I1210" s="58"/>
      <c r="J1210" s="58"/>
      <c r="K1210" s="59"/>
      <c r="L1210" s="59"/>
    </row>
    <row r="1211" spans="5:12" x14ac:dyDescent="0.25">
      <c r="E1211" s="138"/>
      <c r="F1211" s="138"/>
      <c r="I1211" s="58"/>
      <c r="J1211" s="58"/>
      <c r="K1211" s="59"/>
      <c r="L1211" s="59"/>
    </row>
    <row r="1212" spans="5:12" x14ac:dyDescent="0.25">
      <c r="E1212" s="138"/>
      <c r="F1212" s="138"/>
      <c r="I1212" s="58"/>
      <c r="J1212" s="58"/>
      <c r="K1212" s="59"/>
      <c r="L1212" s="59"/>
    </row>
    <row r="1213" spans="5:12" x14ac:dyDescent="0.25">
      <c r="E1213" s="138"/>
      <c r="F1213" s="138"/>
      <c r="I1213" s="58"/>
      <c r="J1213" s="58"/>
      <c r="K1213" s="59"/>
      <c r="L1213" s="59"/>
    </row>
    <row r="1214" spans="5:12" x14ac:dyDescent="0.25">
      <c r="E1214" s="138"/>
      <c r="F1214" s="138"/>
      <c r="I1214" s="58"/>
      <c r="J1214" s="58"/>
      <c r="K1214" s="59"/>
      <c r="L1214" s="59"/>
    </row>
    <row r="1215" spans="5:12" x14ac:dyDescent="0.25">
      <c r="E1215" s="138"/>
      <c r="F1215" s="138"/>
      <c r="I1215" s="58"/>
      <c r="J1215" s="58"/>
      <c r="K1215" s="59"/>
      <c r="L1215" s="59"/>
    </row>
    <row r="1216" spans="5:12" x14ac:dyDescent="0.25">
      <c r="E1216" s="138"/>
      <c r="F1216" s="138"/>
      <c r="I1216" s="58"/>
      <c r="J1216" s="58"/>
      <c r="K1216" s="59"/>
      <c r="L1216" s="59"/>
    </row>
    <row r="1217" spans="5:12" x14ac:dyDescent="0.25">
      <c r="E1217" s="138"/>
      <c r="F1217" s="138"/>
      <c r="I1217" s="58"/>
      <c r="J1217" s="58"/>
      <c r="K1217" s="59"/>
      <c r="L1217" s="59"/>
    </row>
    <row r="1218" spans="5:12" x14ac:dyDescent="0.25">
      <c r="E1218" s="138"/>
      <c r="F1218" s="138"/>
      <c r="I1218" s="58"/>
      <c r="J1218" s="58"/>
      <c r="K1218" s="59"/>
      <c r="L1218" s="59"/>
    </row>
    <row r="1219" spans="5:12" x14ac:dyDescent="0.25">
      <c r="E1219" s="138"/>
      <c r="F1219" s="138"/>
      <c r="I1219" s="58"/>
      <c r="J1219" s="58"/>
      <c r="K1219" s="59"/>
      <c r="L1219" s="59"/>
    </row>
    <row r="1220" spans="5:12" x14ac:dyDescent="0.25">
      <c r="E1220" s="138"/>
      <c r="F1220" s="138"/>
      <c r="I1220" s="58"/>
      <c r="J1220" s="58"/>
      <c r="K1220" s="59"/>
      <c r="L1220" s="59"/>
    </row>
    <row r="1221" spans="5:12" x14ac:dyDescent="0.25">
      <c r="E1221" s="138"/>
      <c r="F1221" s="138"/>
      <c r="I1221" s="58"/>
      <c r="J1221" s="58"/>
      <c r="K1221" s="59"/>
      <c r="L1221" s="59"/>
    </row>
    <row r="1222" spans="5:12" x14ac:dyDescent="0.25">
      <c r="E1222" s="138"/>
      <c r="F1222" s="138"/>
      <c r="I1222" s="58"/>
      <c r="J1222" s="58"/>
      <c r="K1222" s="59"/>
      <c r="L1222" s="59"/>
    </row>
    <row r="1223" spans="5:12" x14ac:dyDescent="0.25">
      <c r="E1223" s="138"/>
      <c r="F1223" s="138"/>
      <c r="I1223" s="58"/>
      <c r="J1223" s="58"/>
      <c r="K1223" s="59"/>
      <c r="L1223" s="59"/>
    </row>
    <row r="1224" spans="5:12" x14ac:dyDescent="0.25">
      <c r="E1224" s="138"/>
      <c r="F1224" s="138"/>
      <c r="I1224" s="58"/>
      <c r="J1224" s="58"/>
      <c r="K1224" s="59"/>
      <c r="L1224" s="59"/>
    </row>
    <row r="1225" spans="5:12" x14ac:dyDescent="0.25">
      <c r="E1225" s="138"/>
      <c r="F1225" s="138"/>
      <c r="I1225" s="58"/>
      <c r="J1225" s="58"/>
      <c r="K1225" s="59"/>
      <c r="L1225" s="59"/>
    </row>
    <row r="1226" spans="5:12" x14ac:dyDescent="0.25">
      <c r="E1226" s="138"/>
      <c r="F1226" s="138"/>
      <c r="I1226" s="58"/>
      <c r="J1226" s="58"/>
      <c r="K1226" s="59"/>
      <c r="L1226" s="59"/>
    </row>
    <row r="1227" spans="5:12" x14ac:dyDescent="0.25">
      <c r="E1227" s="138"/>
      <c r="F1227" s="138"/>
      <c r="I1227" s="58"/>
      <c r="J1227" s="58"/>
      <c r="K1227" s="59"/>
      <c r="L1227" s="59"/>
    </row>
    <row r="1228" spans="5:12" x14ac:dyDescent="0.25">
      <c r="E1228" s="138"/>
      <c r="F1228" s="138"/>
      <c r="I1228" s="58"/>
      <c r="J1228" s="58"/>
      <c r="K1228" s="59"/>
      <c r="L1228" s="59"/>
    </row>
    <row r="1229" spans="5:12" x14ac:dyDescent="0.25">
      <c r="E1229" s="138"/>
      <c r="F1229" s="138"/>
      <c r="I1229" s="58"/>
      <c r="J1229" s="58"/>
      <c r="K1229" s="59"/>
      <c r="L1229" s="59"/>
    </row>
    <row r="1230" spans="5:12" x14ac:dyDescent="0.25">
      <c r="E1230" s="138"/>
      <c r="F1230" s="138"/>
      <c r="I1230" s="58"/>
      <c r="J1230" s="58"/>
      <c r="K1230" s="59"/>
      <c r="L1230" s="59"/>
    </row>
    <row r="1231" spans="5:12" x14ac:dyDescent="0.25">
      <c r="E1231" s="138"/>
      <c r="F1231" s="138"/>
      <c r="I1231" s="58"/>
      <c r="J1231" s="58"/>
      <c r="K1231" s="59"/>
      <c r="L1231" s="59"/>
    </row>
    <row r="1232" spans="5:12" x14ac:dyDescent="0.25">
      <c r="E1232" s="138"/>
      <c r="F1232" s="138"/>
      <c r="I1232" s="58"/>
      <c r="J1232" s="58"/>
      <c r="K1232" s="59"/>
      <c r="L1232" s="59"/>
    </row>
    <row r="1233" spans="5:12" x14ac:dyDescent="0.25">
      <c r="E1233" s="138"/>
      <c r="F1233" s="138"/>
      <c r="I1233" s="58"/>
      <c r="J1233" s="58"/>
      <c r="K1233" s="59"/>
      <c r="L1233" s="59"/>
    </row>
    <row r="1234" spans="5:12" x14ac:dyDescent="0.25">
      <c r="E1234" s="138"/>
      <c r="F1234" s="138"/>
      <c r="I1234" s="58"/>
      <c r="J1234" s="58"/>
      <c r="K1234" s="59"/>
      <c r="L1234" s="59"/>
    </row>
    <row r="1235" spans="5:12" x14ac:dyDescent="0.25">
      <c r="E1235" s="138"/>
      <c r="F1235" s="138"/>
      <c r="I1235" s="58"/>
      <c r="J1235" s="58"/>
      <c r="K1235" s="59"/>
      <c r="L1235" s="59"/>
    </row>
    <row r="1236" spans="5:12" x14ac:dyDescent="0.25">
      <c r="E1236" s="138"/>
      <c r="F1236" s="138"/>
      <c r="I1236" s="58"/>
      <c r="J1236" s="58"/>
      <c r="K1236" s="59"/>
      <c r="L1236" s="59"/>
    </row>
    <row r="1237" spans="5:12" x14ac:dyDescent="0.25">
      <c r="E1237" s="138"/>
      <c r="F1237" s="138"/>
      <c r="I1237" s="58"/>
      <c r="J1237" s="58"/>
      <c r="K1237" s="59"/>
      <c r="L1237" s="59"/>
    </row>
    <row r="1238" spans="5:12" x14ac:dyDescent="0.25">
      <c r="E1238" s="138"/>
      <c r="F1238" s="138"/>
      <c r="I1238" s="58"/>
      <c r="J1238" s="58"/>
      <c r="K1238" s="59"/>
      <c r="L1238" s="59"/>
    </row>
    <row r="1239" spans="5:12" x14ac:dyDescent="0.25">
      <c r="E1239" s="138"/>
      <c r="F1239" s="138"/>
      <c r="I1239" s="58"/>
      <c r="J1239" s="58"/>
      <c r="K1239" s="59"/>
      <c r="L1239" s="59"/>
    </row>
    <row r="1240" spans="5:12" x14ac:dyDescent="0.25">
      <c r="E1240" s="138"/>
      <c r="F1240" s="138"/>
      <c r="I1240" s="58"/>
      <c r="J1240" s="58"/>
      <c r="K1240" s="59"/>
      <c r="L1240" s="59"/>
    </row>
    <row r="1241" spans="5:12" x14ac:dyDescent="0.25">
      <c r="E1241" s="138"/>
      <c r="F1241" s="138"/>
      <c r="I1241" s="58"/>
      <c r="J1241" s="58"/>
      <c r="K1241" s="59"/>
      <c r="L1241" s="59"/>
    </row>
    <row r="1242" spans="5:12" x14ac:dyDescent="0.25">
      <c r="E1242" s="138"/>
      <c r="F1242" s="138"/>
      <c r="I1242" s="58"/>
      <c r="J1242" s="58"/>
      <c r="K1242" s="59"/>
      <c r="L1242" s="59"/>
    </row>
    <row r="1243" spans="5:12" x14ac:dyDescent="0.25">
      <c r="E1243" s="138"/>
      <c r="F1243" s="138"/>
      <c r="I1243" s="58"/>
      <c r="J1243" s="58"/>
      <c r="K1243" s="59"/>
      <c r="L1243" s="59"/>
    </row>
    <row r="1244" spans="5:12" x14ac:dyDescent="0.25">
      <c r="E1244" s="138"/>
      <c r="F1244" s="138"/>
      <c r="I1244" s="58"/>
      <c r="J1244" s="58"/>
      <c r="K1244" s="59"/>
      <c r="L1244" s="59"/>
    </row>
    <row r="1245" spans="5:12" x14ac:dyDescent="0.25">
      <c r="E1245" s="138"/>
      <c r="F1245" s="138"/>
      <c r="I1245" s="58"/>
      <c r="J1245" s="58"/>
      <c r="K1245" s="59"/>
      <c r="L1245" s="59"/>
    </row>
    <row r="1246" spans="5:12" x14ac:dyDescent="0.25">
      <c r="E1246" s="138"/>
      <c r="F1246" s="138"/>
      <c r="I1246" s="58"/>
      <c r="J1246" s="58"/>
      <c r="K1246" s="59"/>
      <c r="L1246" s="59"/>
    </row>
    <row r="1247" spans="5:12" x14ac:dyDescent="0.25">
      <c r="E1247" s="138"/>
      <c r="F1247" s="138"/>
      <c r="I1247" s="58"/>
      <c r="J1247" s="58"/>
      <c r="K1247" s="59"/>
      <c r="L1247" s="59"/>
    </row>
    <row r="1248" spans="5:12" x14ac:dyDescent="0.25">
      <c r="E1248" s="138"/>
      <c r="F1248" s="138"/>
      <c r="I1248" s="58"/>
      <c r="J1248" s="58"/>
      <c r="K1248" s="59"/>
      <c r="L1248" s="59"/>
    </row>
    <row r="1249" spans="5:12" x14ac:dyDescent="0.25">
      <c r="E1249" s="138"/>
      <c r="F1249" s="138"/>
      <c r="I1249" s="58"/>
      <c r="J1249" s="58"/>
      <c r="K1249" s="59"/>
      <c r="L1249" s="59"/>
    </row>
    <row r="1250" spans="5:12" x14ac:dyDescent="0.25">
      <c r="E1250" s="138"/>
      <c r="F1250" s="138"/>
      <c r="I1250" s="58"/>
      <c r="J1250" s="58"/>
      <c r="K1250" s="59"/>
      <c r="L1250" s="59"/>
    </row>
    <row r="1251" spans="5:12" x14ac:dyDescent="0.25">
      <c r="E1251" s="138"/>
      <c r="F1251" s="138"/>
      <c r="I1251" s="58"/>
      <c r="J1251" s="58"/>
      <c r="K1251" s="59"/>
      <c r="L1251" s="59"/>
    </row>
    <row r="1252" spans="5:12" x14ac:dyDescent="0.25">
      <c r="E1252" s="138"/>
      <c r="F1252" s="138"/>
      <c r="I1252" s="58"/>
      <c r="J1252" s="58"/>
      <c r="K1252" s="59"/>
      <c r="L1252" s="59"/>
    </row>
    <row r="1253" spans="5:12" x14ac:dyDescent="0.25">
      <c r="E1253" s="138"/>
      <c r="F1253" s="138"/>
      <c r="I1253" s="58"/>
      <c r="J1253" s="58"/>
      <c r="K1253" s="59"/>
      <c r="L1253" s="59"/>
    </row>
    <row r="1254" spans="5:12" x14ac:dyDescent="0.25">
      <c r="E1254" s="138"/>
      <c r="F1254" s="138"/>
      <c r="I1254" s="58"/>
      <c r="J1254" s="58"/>
      <c r="K1254" s="59"/>
      <c r="L1254" s="59"/>
    </row>
    <row r="1255" spans="5:12" x14ac:dyDescent="0.25">
      <c r="E1255" s="138"/>
      <c r="F1255" s="138"/>
      <c r="I1255" s="58"/>
      <c r="J1255" s="58"/>
      <c r="K1255" s="59"/>
      <c r="L1255" s="59"/>
    </row>
    <row r="1256" spans="5:12" x14ac:dyDescent="0.25">
      <c r="E1256" s="138"/>
      <c r="F1256" s="138"/>
      <c r="I1256" s="58"/>
      <c r="J1256" s="58"/>
      <c r="K1256" s="59"/>
      <c r="L1256" s="59"/>
    </row>
    <row r="1257" spans="5:12" x14ac:dyDescent="0.25">
      <c r="E1257" s="138"/>
      <c r="F1257" s="138"/>
      <c r="I1257" s="58"/>
      <c r="J1257" s="58"/>
      <c r="K1257" s="59"/>
      <c r="L1257" s="59"/>
    </row>
    <row r="1258" spans="5:12" x14ac:dyDescent="0.25">
      <c r="E1258" s="138"/>
      <c r="F1258" s="138"/>
      <c r="I1258" s="58"/>
      <c r="J1258" s="58"/>
      <c r="K1258" s="59"/>
      <c r="L1258" s="59"/>
    </row>
    <row r="1259" spans="5:12" x14ac:dyDescent="0.25">
      <c r="E1259" s="138"/>
      <c r="F1259" s="138"/>
      <c r="I1259" s="58"/>
      <c r="J1259" s="58"/>
      <c r="K1259" s="59"/>
      <c r="L1259" s="59"/>
    </row>
    <row r="1260" spans="5:12" x14ac:dyDescent="0.25">
      <c r="E1260" s="138"/>
      <c r="F1260" s="138"/>
      <c r="I1260" s="58"/>
      <c r="J1260" s="58"/>
      <c r="K1260" s="59"/>
      <c r="L1260" s="59"/>
    </row>
    <row r="1261" spans="5:12" x14ac:dyDescent="0.25">
      <c r="E1261" s="138"/>
      <c r="F1261" s="138"/>
      <c r="I1261" s="58"/>
      <c r="J1261" s="58"/>
      <c r="K1261" s="59"/>
      <c r="L1261" s="59"/>
    </row>
    <row r="1262" spans="5:12" x14ac:dyDescent="0.25">
      <c r="E1262" s="138"/>
      <c r="F1262" s="138"/>
      <c r="I1262" s="58"/>
      <c r="J1262" s="58"/>
      <c r="K1262" s="59"/>
      <c r="L1262" s="59"/>
    </row>
    <row r="1263" spans="5:12" x14ac:dyDescent="0.25">
      <c r="E1263" s="138"/>
      <c r="F1263" s="138"/>
      <c r="I1263" s="58"/>
      <c r="J1263" s="58"/>
      <c r="K1263" s="59"/>
      <c r="L1263" s="59"/>
    </row>
    <row r="1264" spans="5:12" x14ac:dyDescent="0.25">
      <c r="E1264" s="138"/>
      <c r="F1264" s="138"/>
      <c r="I1264" s="58"/>
      <c r="J1264" s="58"/>
      <c r="K1264" s="59"/>
      <c r="L1264" s="59"/>
    </row>
    <row r="1265" spans="5:12" x14ac:dyDescent="0.25">
      <c r="E1265" s="138"/>
      <c r="F1265" s="138"/>
      <c r="I1265" s="58"/>
      <c r="J1265" s="58"/>
      <c r="K1265" s="59"/>
      <c r="L1265" s="59"/>
    </row>
    <row r="1266" spans="5:12" x14ac:dyDescent="0.25">
      <c r="E1266" s="138"/>
      <c r="F1266" s="138"/>
      <c r="I1266" s="58"/>
      <c r="J1266" s="58"/>
      <c r="K1266" s="59"/>
      <c r="L1266" s="59"/>
    </row>
    <row r="1267" spans="5:12" x14ac:dyDescent="0.25">
      <c r="E1267" s="138"/>
      <c r="F1267" s="138"/>
      <c r="I1267" s="58"/>
      <c r="J1267" s="58"/>
      <c r="K1267" s="59"/>
      <c r="L1267" s="59"/>
    </row>
    <row r="1268" spans="5:12" x14ac:dyDescent="0.25">
      <c r="E1268" s="138"/>
      <c r="F1268" s="138"/>
      <c r="I1268" s="58"/>
      <c r="J1268" s="58"/>
      <c r="K1268" s="59"/>
      <c r="L1268" s="59"/>
    </row>
    <row r="1269" spans="5:12" x14ac:dyDescent="0.25">
      <c r="E1269" s="138"/>
      <c r="F1269" s="138"/>
      <c r="I1269" s="58"/>
      <c r="J1269" s="58"/>
      <c r="K1269" s="59"/>
      <c r="L1269" s="59"/>
    </row>
    <row r="1270" spans="5:12" x14ac:dyDescent="0.25">
      <c r="E1270" s="138"/>
      <c r="F1270" s="138"/>
      <c r="I1270" s="58"/>
      <c r="J1270" s="58"/>
      <c r="K1270" s="59"/>
      <c r="L1270" s="59"/>
    </row>
    <row r="1271" spans="5:12" x14ac:dyDescent="0.25">
      <c r="E1271" s="138"/>
      <c r="F1271" s="138"/>
      <c r="I1271" s="58"/>
      <c r="J1271" s="58"/>
      <c r="K1271" s="59"/>
      <c r="L1271" s="59"/>
    </row>
    <row r="1272" spans="5:12" x14ac:dyDescent="0.25">
      <c r="E1272" s="138"/>
      <c r="F1272" s="138"/>
      <c r="I1272" s="58"/>
      <c r="J1272" s="58"/>
      <c r="K1272" s="59"/>
      <c r="L1272" s="59"/>
    </row>
    <row r="1273" spans="5:12" x14ac:dyDescent="0.25">
      <c r="E1273" s="138"/>
      <c r="F1273" s="138"/>
      <c r="I1273" s="58"/>
      <c r="J1273" s="58"/>
      <c r="K1273" s="59"/>
      <c r="L1273" s="59"/>
    </row>
    <row r="1274" spans="5:12" x14ac:dyDescent="0.25">
      <c r="E1274" s="138"/>
      <c r="F1274" s="138"/>
      <c r="I1274" s="58"/>
      <c r="J1274" s="58"/>
      <c r="K1274" s="59"/>
      <c r="L1274" s="59"/>
    </row>
    <row r="1275" spans="5:12" x14ac:dyDescent="0.25">
      <c r="E1275" s="138"/>
      <c r="F1275" s="138"/>
      <c r="I1275" s="58"/>
      <c r="J1275" s="58"/>
      <c r="K1275" s="59"/>
      <c r="L1275" s="59"/>
    </row>
    <row r="1276" spans="5:12" x14ac:dyDescent="0.25">
      <c r="E1276" s="138"/>
      <c r="F1276" s="138"/>
      <c r="I1276" s="58"/>
      <c r="J1276" s="58"/>
      <c r="K1276" s="59"/>
      <c r="L1276" s="59"/>
    </row>
    <row r="1277" spans="5:12" x14ac:dyDescent="0.25">
      <c r="E1277" s="138"/>
      <c r="F1277" s="138"/>
      <c r="I1277" s="58"/>
      <c r="J1277" s="58"/>
      <c r="K1277" s="59"/>
      <c r="L1277" s="59"/>
    </row>
    <row r="1278" spans="5:12" x14ac:dyDescent="0.25">
      <c r="E1278" s="138"/>
      <c r="F1278" s="138"/>
      <c r="I1278" s="58"/>
      <c r="J1278" s="58"/>
      <c r="K1278" s="59"/>
      <c r="L1278" s="59"/>
    </row>
    <row r="1279" spans="5:12" x14ac:dyDescent="0.25">
      <c r="E1279" s="138"/>
      <c r="F1279" s="138"/>
      <c r="I1279" s="58"/>
      <c r="J1279" s="58"/>
      <c r="K1279" s="59"/>
      <c r="L1279" s="59"/>
    </row>
    <row r="1280" spans="5:12" x14ac:dyDescent="0.25">
      <c r="E1280" s="138"/>
      <c r="F1280" s="138"/>
      <c r="I1280" s="58"/>
      <c r="J1280" s="58"/>
      <c r="K1280" s="59"/>
      <c r="L1280" s="59"/>
    </row>
    <row r="1281" spans="5:12" x14ac:dyDescent="0.25">
      <c r="E1281" s="138"/>
      <c r="F1281" s="138"/>
      <c r="I1281" s="58"/>
      <c r="J1281" s="58"/>
      <c r="K1281" s="59"/>
      <c r="L1281" s="59"/>
    </row>
    <row r="1282" spans="5:12" x14ac:dyDescent="0.25">
      <c r="E1282" s="138"/>
      <c r="F1282" s="138"/>
      <c r="I1282" s="58"/>
      <c r="J1282" s="58"/>
      <c r="K1282" s="59"/>
      <c r="L1282" s="59"/>
    </row>
    <row r="1283" spans="5:12" x14ac:dyDescent="0.25">
      <c r="E1283" s="138"/>
      <c r="F1283" s="138"/>
      <c r="I1283" s="58"/>
      <c r="J1283" s="58"/>
      <c r="K1283" s="59"/>
      <c r="L1283" s="59"/>
    </row>
    <row r="1284" spans="5:12" x14ac:dyDescent="0.25">
      <c r="E1284" s="138"/>
      <c r="F1284" s="138"/>
      <c r="I1284" s="58"/>
      <c r="J1284" s="58"/>
      <c r="K1284" s="59"/>
      <c r="L1284" s="59"/>
    </row>
    <row r="1285" spans="5:12" x14ac:dyDescent="0.25">
      <c r="E1285" s="138"/>
      <c r="F1285" s="138"/>
      <c r="I1285" s="58"/>
      <c r="J1285" s="58"/>
      <c r="K1285" s="59"/>
      <c r="L1285" s="59"/>
    </row>
    <row r="1286" spans="5:12" x14ac:dyDescent="0.25">
      <c r="E1286" s="138"/>
      <c r="F1286" s="138"/>
      <c r="I1286" s="58"/>
      <c r="J1286" s="58"/>
      <c r="K1286" s="59"/>
      <c r="L1286" s="59"/>
    </row>
    <row r="1287" spans="5:12" x14ac:dyDescent="0.25">
      <c r="E1287" s="138"/>
      <c r="F1287" s="138"/>
      <c r="I1287" s="58"/>
      <c r="J1287" s="58"/>
      <c r="K1287" s="59"/>
      <c r="L1287" s="59"/>
    </row>
    <row r="1288" spans="5:12" x14ac:dyDescent="0.25">
      <c r="E1288" s="138"/>
      <c r="F1288" s="138"/>
      <c r="I1288" s="58"/>
      <c r="J1288" s="58"/>
      <c r="K1288" s="59"/>
      <c r="L1288" s="59"/>
    </row>
    <row r="1289" spans="5:12" x14ac:dyDescent="0.25">
      <c r="E1289" s="138"/>
      <c r="F1289" s="138"/>
      <c r="I1289" s="58"/>
      <c r="J1289" s="58"/>
      <c r="K1289" s="59"/>
      <c r="L1289" s="59"/>
    </row>
    <row r="1290" spans="5:12" x14ac:dyDescent="0.25">
      <c r="E1290" s="138"/>
      <c r="F1290" s="138"/>
      <c r="I1290" s="58"/>
      <c r="J1290" s="58"/>
      <c r="K1290" s="59"/>
      <c r="L1290" s="59"/>
    </row>
    <row r="1291" spans="5:12" x14ac:dyDescent="0.25">
      <c r="E1291" s="138"/>
      <c r="F1291" s="138"/>
      <c r="I1291" s="58"/>
      <c r="J1291" s="58"/>
      <c r="K1291" s="59"/>
      <c r="L1291" s="59"/>
    </row>
    <row r="1292" spans="5:12" x14ac:dyDescent="0.25">
      <c r="E1292" s="138"/>
      <c r="F1292" s="138"/>
      <c r="I1292" s="58"/>
      <c r="J1292" s="58"/>
      <c r="K1292" s="59"/>
      <c r="L1292" s="59"/>
    </row>
    <row r="1293" spans="5:12" x14ac:dyDescent="0.25">
      <c r="E1293" s="138"/>
      <c r="F1293" s="138"/>
      <c r="I1293" s="58"/>
      <c r="J1293" s="58"/>
      <c r="K1293" s="59"/>
      <c r="L1293" s="59"/>
    </row>
    <row r="1294" spans="5:12" x14ac:dyDescent="0.25">
      <c r="E1294" s="138"/>
      <c r="F1294" s="138"/>
      <c r="I1294" s="58"/>
      <c r="J1294" s="58"/>
      <c r="K1294" s="59"/>
      <c r="L1294" s="59"/>
    </row>
    <row r="1295" spans="5:12" x14ac:dyDescent="0.25">
      <c r="E1295" s="138"/>
      <c r="F1295" s="138"/>
      <c r="I1295" s="58"/>
      <c r="J1295" s="58"/>
      <c r="K1295" s="59"/>
      <c r="L1295" s="59"/>
    </row>
    <row r="1296" spans="5:12" x14ac:dyDescent="0.25">
      <c r="E1296" s="138"/>
      <c r="F1296" s="138"/>
      <c r="I1296" s="58"/>
      <c r="J1296" s="58"/>
      <c r="K1296" s="59"/>
      <c r="L1296" s="59"/>
    </row>
    <row r="1297" spans="5:12" x14ac:dyDescent="0.25">
      <c r="E1297" s="138"/>
      <c r="F1297" s="138"/>
      <c r="I1297" s="58"/>
      <c r="J1297" s="58"/>
      <c r="K1297" s="59"/>
      <c r="L1297" s="59"/>
    </row>
    <row r="1298" spans="5:12" x14ac:dyDescent="0.25">
      <c r="E1298" s="138"/>
      <c r="F1298" s="138"/>
      <c r="I1298" s="58"/>
      <c r="J1298" s="58"/>
      <c r="K1298" s="59"/>
      <c r="L1298" s="59"/>
    </row>
    <row r="1299" spans="5:12" x14ac:dyDescent="0.25">
      <c r="E1299" s="138"/>
      <c r="F1299" s="138"/>
      <c r="I1299" s="58"/>
      <c r="J1299" s="58"/>
      <c r="K1299" s="59"/>
      <c r="L1299" s="59"/>
    </row>
    <row r="1300" spans="5:12" x14ac:dyDescent="0.25">
      <c r="E1300" s="138"/>
      <c r="F1300" s="138"/>
      <c r="I1300" s="58"/>
      <c r="J1300" s="58"/>
      <c r="K1300" s="59"/>
      <c r="L1300" s="59"/>
    </row>
    <row r="1301" spans="5:12" x14ac:dyDescent="0.25">
      <c r="E1301" s="138"/>
      <c r="F1301" s="138"/>
      <c r="I1301" s="58"/>
      <c r="J1301" s="58"/>
      <c r="K1301" s="59"/>
      <c r="L1301" s="59"/>
    </row>
    <row r="1302" spans="5:12" x14ac:dyDescent="0.25">
      <c r="E1302" s="138"/>
      <c r="F1302" s="138"/>
      <c r="I1302" s="58"/>
      <c r="J1302" s="58"/>
      <c r="K1302" s="59"/>
      <c r="L1302" s="59"/>
    </row>
    <row r="1303" spans="5:12" x14ac:dyDescent="0.25">
      <c r="E1303" s="138"/>
      <c r="F1303" s="138"/>
      <c r="I1303" s="58"/>
      <c r="J1303" s="58"/>
      <c r="K1303" s="59"/>
      <c r="L1303" s="59"/>
    </row>
    <row r="1304" spans="5:12" x14ac:dyDescent="0.25">
      <c r="E1304" s="138"/>
      <c r="F1304" s="138"/>
      <c r="I1304" s="58"/>
      <c r="J1304" s="58"/>
      <c r="K1304" s="59"/>
      <c r="L1304" s="59"/>
    </row>
    <row r="1305" spans="5:12" x14ac:dyDescent="0.25">
      <c r="E1305" s="138"/>
      <c r="F1305" s="138"/>
      <c r="I1305" s="58"/>
      <c r="J1305" s="58"/>
      <c r="K1305" s="59"/>
      <c r="L1305" s="59"/>
    </row>
    <row r="1306" spans="5:12" x14ac:dyDescent="0.25">
      <c r="E1306" s="138"/>
      <c r="F1306" s="138"/>
      <c r="I1306" s="58"/>
      <c r="J1306" s="58"/>
      <c r="K1306" s="59"/>
      <c r="L1306" s="59"/>
    </row>
    <row r="1307" spans="5:12" x14ac:dyDescent="0.25">
      <c r="E1307" s="138"/>
      <c r="F1307" s="138"/>
      <c r="I1307" s="58"/>
      <c r="J1307" s="58"/>
      <c r="K1307" s="59"/>
      <c r="L1307" s="59"/>
    </row>
    <row r="1308" spans="5:12" x14ac:dyDescent="0.25">
      <c r="E1308" s="138"/>
      <c r="F1308" s="138"/>
      <c r="I1308" s="58"/>
      <c r="J1308" s="58"/>
      <c r="K1308" s="59"/>
      <c r="L1308" s="59"/>
    </row>
    <row r="1309" spans="5:12" x14ac:dyDescent="0.25">
      <c r="E1309" s="138"/>
      <c r="F1309" s="138"/>
      <c r="I1309" s="58"/>
      <c r="J1309" s="58"/>
      <c r="K1309" s="59"/>
      <c r="L1309" s="59"/>
    </row>
    <row r="1310" spans="5:12" x14ac:dyDescent="0.25">
      <c r="E1310" s="138"/>
      <c r="F1310" s="138"/>
      <c r="I1310" s="58"/>
      <c r="J1310" s="58"/>
      <c r="K1310" s="59"/>
      <c r="L1310" s="59"/>
    </row>
    <row r="1311" spans="5:12" x14ac:dyDescent="0.25">
      <c r="E1311" s="138"/>
      <c r="F1311" s="138"/>
      <c r="I1311" s="58"/>
      <c r="J1311" s="58"/>
      <c r="K1311" s="59"/>
      <c r="L1311" s="59"/>
    </row>
    <row r="1312" spans="5:12" x14ac:dyDescent="0.25">
      <c r="E1312" s="138"/>
      <c r="F1312" s="138"/>
      <c r="I1312" s="58"/>
      <c r="J1312" s="58"/>
      <c r="K1312" s="59"/>
      <c r="L1312" s="59"/>
    </row>
    <row r="1313" spans="5:12" x14ac:dyDescent="0.25">
      <c r="E1313" s="138"/>
      <c r="F1313" s="138"/>
      <c r="I1313" s="58"/>
      <c r="J1313" s="58"/>
      <c r="K1313" s="59"/>
      <c r="L1313" s="59"/>
    </row>
    <row r="1314" spans="5:12" x14ac:dyDescent="0.25">
      <c r="E1314" s="138"/>
      <c r="F1314" s="138"/>
      <c r="I1314" s="58"/>
      <c r="J1314" s="58"/>
      <c r="K1314" s="59"/>
      <c r="L1314" s="59"/>
    </row>
    <row r="1315" spans="5:12" x14ac:dyDescent="0.25">
      <c r="E1315" s="138"/>
      <c r="F1315" s="138"/>
      <c r="I1315" s="58"/>
      <c r="J1315" s="58"/>
      <c r="K1315" s="59"/>
      <c r="L1315" s="59"/>
    </row>
    <row r="1316" spans="5:12" x14ac:dyDescent="0.25">
      <c r="E1316" s="138"/>
      <c r="F1316" s="138"/>
      <c r="I1316" s="58"/>
      <c r="J1316" s="58"/>
      <c r="K1316" s="59"/>
      <c r="L1316" s="59"/>
    </row>
    <row r="1317" spans="5:12" x14ac:dyDescent="0.25">
      <c r="E1317" s="138"/>
      <c r="F1317" s="138"/>
      <c r="I1317" s="58"/>
      <c r="J1317" s="58"/>
      <c r="K1317" s="59"/>
      <c r="L1317" s="59"/>
    </row>
    <row r="1318" spans="5:12" x14ac:dyDescent="0.25">
      <c r="E1318" s="138"/>
      <c r="F1318" s="138"/>
      <c r="I1318" s="58"/>
      <c r="J1318" s="58"/>
      <c r="K1318" s="59"/>
      <c r="L1318" s="59"/>
    </row>
    <row r="1319" spans="5:12" x14ac:dyDescent="0.25">
      <c r="E1319" s="138"/>
      <c r="F1319" s="138"/>
      <c r="I1319" s="58"/>
      <c r="J1319" s="58"/>
      <c r="K1319" s="59"/>
      <c r="L1319" s="59"/>
    </row>
    <row r="1320" spans="5:12" x14ac:dyDescent="0.25">
      <c r="E1320" s="138"/>
      <c r="F1320" s="138"/>
      <c r="I1320" s="58"/>
      <c r="J1320" s="58"/>
      <c r="K1320" s="59"/>
      <c r="L1320" s="59"/>
    </row>
    <row r="1321" spans="5:12" x14ac:dyDescent="0.25">
      <c r="E1321" s="138"/>
      <c r="F1321" s="138"/>
      <c r="I1321" s="58"/>
      <c r="J1321" s="58"/>
      <c r="K1321" s="59"/>
      <c r="L1321" s="59"/>
    </row>
    <row r="1322" spans="5:12" x14ac:dyDescent="0.25">
      <c r="E1322" s="138"/>
      <c r="F1322" s="138"/>
      <c r="I1322" s="58"/>
      <c r="J1322" s="58"/>
      <c r="K1322" s="59"/>
      <c r="L1322" s="59"/>
    </row>
    <row r="1323" spans="5:12" x14ac:dyDescent="0.25">
      <c r="E1323" s="138"/>
      <c r="F1323" s="138"/>
      <c r="I1323" s="58"/>
      <c r="J1323" s="58"/>
      <c r="K1323" s="59"/>
      <c r="L1323" s="59"/>
    </row>
    <row r="1324" spans="5:12" x14ac:dyDescent="0.25">
      <c r="E1324" s="138"/>
      <c r="F1324" s="138"/>
      <c r="I1324" s="58"/>
      <c r="J1324" s="58"/>
      <c r="K1324" s="59"/>
      <c r="L1324" s="59"/>
    </row>
    <row r="1325" spans="5:12" x14ac:dyDescent="0.25">
      <c r="E1325" s="138"/>
      <c r="F1325" s="138"/>
      <c r="I1325" s="58"/>
      <c r="J1325" s="58"/>
      <c r="K1325" s="59"/>
      <c r="L1325" s="59"/>
    </row>
    <row r="1326" spans="5:12" x14ac:dyDescent="0.25">
      <c r="E1326" s="138"/>
      <c r="F1326" s="138"/>
      <c r="I1326" s="58"/>
      <c r="J1326" s="58"/>
      <c r="K1326" s="59"/>
      <c r="L1326" s="59"/>
    </row>
    <row r="1327" spans="5:12" x14ac:dyDescent="0.25">
      <c r="E1327" s="138"/>
      <c r="F1327" s="138"/>
      <c r="I1327" s="58"/>
      <c r="J1327" s="58"/>
      <c r="K1327" s="59"/>
      <c r="L1327" s="59"/>
    </row>
    <row r="1328" spans="5:12" x14ac:dyDescent="0.25">
      <c r="E1328" s="138"/>
      <c r="F1328" s="138"/>
      <c r="I1328" s="58"/>
      <c r="J1328" s="58"/>
      <c r="K1328" s="59"/>
      <c r="L1328" s="59"/>
    </row>
    <row r="1329" spans="5:12" x14ac:dyDescent="0.25">
      <c r="E1329" s="138"/>
      <c r="F1329" s="138"/>
      <c r="I1329" s="58"/>
      <c r="J1329" s="58"/>
      <c r="K1329" s="59"/>
      <c r="L1329" s="59"/>
    </row>
    <row r="1330" spans="5:12" x14ac:dyDescent="0.25">
      <c r="E1330" s="138"/>
      <c r="F1330" s="138"/>
      <c r="I1330" s="58"/>
      <c r="J1330" s="58"/>
      <c r="K1330" s="59"/>
      <c r="L1330" s="59"/>
    </row>
    <row r="1331" spans="5:12" x14ac:dyDescent="0.25">
      <c r="E1331" s="138"/>
      <c r="F1331" s="138"/>
      <c r="I1331" s="58"/>
      <c r="J1331" s="58"/>
      <c r="K1331" s="59"/>
      <c r="L1331" s="59"/>
    </row>
    <row r="1332" spans="5:12" x14ac:dyDescent="0.25">
      <c r="E1332" s="138"/>
      <c r="F1332" s="138"/>
      <c r="I1332" s="58"/>
      <c r="J1332" s="58"/>
      <c r="K1332" s="59"/>
      <c r="L1332" s="59"/>
    </row>
    <row r="1333" spans="5:12" x14ac:dyDescent="0.25">
      <c r="E1333" s="138"/>
      <c r="F1333" s="138"/>
      <c r="I1333" s="58"/>
      <c r="J1333" s="58"/>
      <c r="K1333" s="59"/>
      <c r="L1333" s="59"/>
    </row>
    <row r="1334" spans="5:12" x14ac:dyDescent="0.25">
      <c r="E1334" s="138"/>
      <c r="F1334" s="138"/>
      <c r="I1334" s="58"/>
      <c r="J1334" s="58"/>
      <c r="K1334" s="59"/>
      <c r="L1334" s="59"/>
    </row>
    <row r="1335" spans="5:12" x14ac:dyDescent="0.25">
      <c r="E1335" s="138"/>
      <c r="F1335" s="138"/>
      <c r="I1335" s="58"/>
      <c r="J1335" s="58"/>
      <c r="K1335" s="59"/>
      <c r="L1335" s="59"/>
    </row>
    <row r="1336" spans="5:12" x14ac:dyDescent="0.25">
      <c r="E1336" s="138"/>
      <c r="F1336" s="138"/>
      <c r="I1336" s="58"/>
      <c r="J1336" s="58"/>
      <c r="K1336" s="59"/>
      <c r="L1336" s="59"/>
    </row>
    <row r="1337" spans="5:12" x14ac:dyDescent="0.25">
      <c r="E1337" s="138"/>
      <c r="F1337" s="138"/>
      <c r="I1337" s="58"/>
      <c r="J1337" s="58"/>
      <c r="K1337" s="59"/>
      <c r="L1337" s="59"/>
    </row>
    <row r="1338" spans="5:12" x14ac:dyDescent="0.25">
      <c r="E1338" s="138"/>
      <c r="F1338" s="138"/>
      <c r="I1338" s="58"/>
      <c r="J1338" s="58"/>
      <c r="K1338" s="59"/>
      <c r="L1338" s="59"/>
    </row>
    <row r="1339" spans="5:12" x14ac:dyDescent="0.25">
      <c r="E1339" s="138"/>
      <c r="F1339" s="138"/>
      <c r="I1339" s="58"/>
      <c r="J1339" s="58"/>
      <c r="K1339" s="59"/>
      <c r="L1339" s="59"/>
    </row>
    <row r="1340" spans="5:12" x14ac:dyDescent="0.25">
      <c r="E1340" s="138"/>
      <c r="F1340" s="138"/>
      <c r="I1340" s="58"/>
      <c r="J1340" s="58"/>
      <c r="K1340" s="59"/>
      <c r="L1340" s="59"/>
    </row>
    <row r="1341" spans="5:12" x14ac:dyDescent="0.25">
      <c r="E1341" s="138"/>
      <c r="F1341" s="138"/>
      <c r="I1341" s="58"/>
      <c r="J1341" s="58"/>
      <c r="K1341" s="59"/>
      <c r="L1341" s="59"/>
    </row>
    <row r="1342" spans="5:12" x14ac:dyDescent="0.25">
      <c r="E1342" s="138"/>
      <c r="F1342" s="138"/>
      <c r="I1342" s="58"/>
      <c r="J1342" s="58"/>
      <c r="K1342" s="59"/>
      <c r="L1342" s="59"/>
    </row>
    <row r="1343" spans="5:12" x14ac:dyDescent="0.25">
      <c r="E1343" s="138"/>
      <c r="F1343" s="138"/>
      <c r="I1343" s="58"/>
      <c r="J1343" s="58"/>
      <c r="K1343" s="59"/>
      <c r="L1343" s="59"/>
    </row>
    <row r="1344" spans="5:12" x14ac:dyDescent="0.25">
      <c r="E1344" s="138"/>
      <c r="F1344" s="138"/>
      <c r="I1344" s="58"/>
      <c r="J1344" s="58"/>
      <c r="K1344" s="59"/>
      <c r="L1344" s="59"/>
    </row>
    <row r="1345" spans="5:12" x14ac:dyDescent="0.25">
      <c r="E1345" s="138"/>
      <c r="F1345" s="138"/>
      <c r="I1345" s="58"/>
      <c r="J1345" s="58"/>
      <c r="K1345" s="59"/>
      <c r="L1345" s="59"/>
    </row>
    <row r="1346" spans="5:12" x14ac:dyDescent="0.25">
      <c r="E1346" s="138"/>
      <c r="F1346" s="138"/>
      <c r="I1346" s="58"/>
      <c r="J1346" s="58"/>
      <c r="K1346" s="59"/>
      <c r="L1346" s="59"/>
    </row>
    <row r="1347" spans="5:12" x14ac:dyDescent="0.25">
      <c r="E1347" s="138"/>
      <c r="F1347" s="138"/>
      <c r="I1347" s="58"/>
      <c r="J1347" s="58"/>
      <c r="K1347" s="59"/>
      <c r="L1347" s="59"/>
    </row>
    <row r="1348" spans="5:12" x14ac:dyDescent="0.25">
      <c r="E1348" s="138"/>
      <c r="F1348" s="138"/>
      <c r="I1348" s="58"/>
      <c r="J1348" s="58"/>
      <c r="K1348" s="59"/>
      <c r="L1348" s="59"/>
    </row>
    <row r="1349" spans="5:12" x14ac:dyDescent="0.25">
      <c r="E1349" s="138"/>
      <c r="F1349" s="138"/>
      <c r="I1349" s="58"/>
      <c r="J1349" s="58"/>
      <c r="K1349" s="59"/>
      <c r="L1349" s="59"/>
    </row>
    <row r="1350" spans="5:12" x14ac:dyDescent="0.25">
      <c r="E1350" s="138"/>
      <c r="F1350" s="138"/>
      <c r="I1350" s="58"/>
      <c r="J1350" s="58"/>
      <c r="K1350" s="59"/>
      <c r="L1350" s="59"/>
    </row>
    <row r="1351" spans="5:12" x14ac:dyDescent="0.25">
      <c r="E1351" s="138"/>
      <c r="F1351" s="138"/>
      <c r="I1351" s="58"/>
      <c r="J1351" s="58"/>
      <c r="K1351" s="59"/>
      <c r="L1351" s="59"/>
    </row>
    <row r="1352" spans="5:12" x14ac:dyDescent="0.25">
      <c r="E1352" s="138"/>
      <c r="F1352" s="138"/>
      <c r="I1352" s="58"/>
      <c r="J1352" s="58"/>
      <c r="K1352" s="59"/>
      <c r="L1352" s="59"/>
    </row>
    <row r="1353" spans="5:12" x14ac:dyDescent="0.25">
      <c r="E1353" s="138"/>
      <c r="F1353" s="138"/>
      <c r="I1353" s="58"/>
      <c r="J1353" s="58"/>
      <c r="K1353" s="59"/>
      <c r="L1353" s="59"/>
    </row>
    <row r="1354" spans="5:12" x14ac:dyDescent="0.25">
      <c r="E1354" s="138"/>
      <c r="F1354" s="138"/>
      <c r="I1354" s="58"/>
      <c r="J1354" s="58"/>
      <c r="K1354" s="59"/>
      <c r="L1354" s="59"/>
    </row>
    <row r="1355" spans="5:12" x14ac:dyDescent="0.25">
      <c r="E1355" s="138"/>
      <c r="F1355" s="138"/>
      <c r="I1355" s="58"/>
      <c r="J1355" s="58"/>
      <c r="K1355" s="59"/>
      <c r="L1355" s="59"/>
    </row>
    <row r="1356" spans="5:12" x14ac:dyDescent="0.25">
      <c r="E1356" s="138"/>
      <c r="F1356" s="138"/>
      <c r="I1356" s="58"/>
      <c r="J1356" s="58"/>
      <c r="K1356" s="59"/>
      <c r="L1356" s="59"/>
    </row>
    <row r="1357" spans="5:12" x14ac:dyDescent="0.25">
      <c r="E1357" s="138"/>
      <c r="F1357" s="138"/>
      <c r="I1357" s="58"/>
      <c r="J1357" s="58"/>
      <c r="K1357" s="59"/>
      <c r="L1357" s="59"/>
    </row>
    <row r="1358" spans="5:12" x14ac:dyDescent="0.25">
      <c r="E1358" s="138"/>
      <c r="F1358" s="138"/>
      <c r="I1358" s="58"/>
      <c r="J1358" s="58"/>
      <c r="K1358" s="59"/>
      <c r="L1358" s="59"/>
    </row>
    <row r="1359" spans="5:12" x14ac:dyDescent="0.25">
      <c r="E1359" s="138"/>
      <c r="F1359" s="138"/>
      <c r="I1359" s="58"/>
      <c r="J1359" s="58"/>
      <c r="K1359" s="59"/>
      <c r="L1359" s="59"/>
    </row>
    <row r="1360" spans="5:12" x14ac:dyDescent="0.25">
      <c r="E1360" s="138"/>
      <c r="F1360" s="138"/>
      <c r="I1360" s="58"/>
      <c r="J1360" s="58"/>
      <c r="K1360" s="59"/>
      <c r="L1360" s="59"/>
    </row>
    <row r="1361" spans="5:12" x14ac:dyDescent="0.25">
      <c r="E1361" s="138"/>
      <c r="F1361" s="138"/>
      <c r="I1361" s="58"/>
      <c r="J1361" s="58"/>
      <c r="K1361" s="59"/>
      <c r="L1361" s="59"/>
    </row>
    <row r="1362" spans="5:12" x14ac:dyDescent="0.25">
      <c r="E1362" s="138"/>
      <c r="F1362" s="138"/>
      <c r="I1362" s="58"/>
      <c r="J1362" s="58"/>
      <c r="K1362" s="59"/>
      <c r="L1362" s="59"/>
    </row>
    <row r="1363" spans="5:12" x14ac:dyDescent="0.25">
      <c r="E1363" s="138"/>
      <c r="F1363" s="138"/>
      <c r="I1363" s="58"/>
      <c r="J1363" s="58"/>
      <c r="K1363" s="59"/>
      <c r="L1363" s="59"/>
    </row>
    <row r="1364" spans="5:12" x14ac:dyDescent="0.25">
      <c r="E1364" s="138"/>
      <c r="F1364" s="138"/>
      <c r="I1364" s="58"/>
      <c r="J1364" s="58"/>
      <c r="K1364" s="59"/>
      <c r="L1364" s="59"/>
    </row>
    <row r="1365" spans="5:12" x14ac:dyDescent="0.25">
      <c r="E1365" s="138"/>
      <c r="F1365" s="138"/>
      <c r="I1365" s="58"/>
      <c r="J1365" s="58"/>
      <c r="K1365" s="59"/>
      <c r="L1365" s="59"/>
    </row>
    <row r="1366" spans="5:12" x14ac:dyDescent="0.25">
      <c r="E1366" s="138"/>
      <c r="F1366" s="138"/>
      <c r="I1366" s="58"/>
      <c r="J1366" s="58"/>
      <c r="K1366" s="59"/>
      <c r="L1366" s="59"/>
    </row>
    <row r="1367" spans="5:12" x14ac:dyDescent="0.25">
      <c r="E1367" s="138"/>
      <c r="F1367" s="138"/>
      <c r="I1367" s="58"/>
      <c r="J1367" s="58"/>
      <c r="K1367" s="59"/>
      <c r="L1367" s="59"/>
    </row>
    <row r="1368" spans="5:12" x14ac:dyDescent="0.25">
      <c r="E1368" s="138"/>
      <c r="F1368" s="138"/>
      <c r="I1368" s="58"/>
      <c r="J1368" s="58"/>
      <c r="K1368" s="59"/>
      <c r="L1368" s="59"/>
    </row>
    <row r="1369" spans="5:12" x14ac:dyDescent="0.25">
      <c r="E1369" s="138"/>
      <c r="F1369" s="138"/>
      <c r="I1369" s="58"/>
      <c r="J1369" s="58"/>
      <c r="K1369" s="59"/>
      <c r="L1369" s="59"/>
    </row>
    <row r="1370" spans="5:12" x14ac:dyDescent="0.25">
      <c r="E1370" s="138"/>
      <c r="F1370" s="138"/>
      <c r="I1370" s="58"/>
      <c r="J1370" s="58"/>
      <c r="K1370" s="59"/>
      <c r="L1370" s="59"/>
    </row>
    <row r="1371" spans="5:12" x14ac:dyDescent="0.25">
      <c r="E1371" s="138"/>
      <c r="F1371" s="138"/>
      <c r="I1371" s="58"/>
      <c r="J1371" s="58"/>
      <c r="K1371" s="59"/>
      <c r="L1371" s="59"/>
    </row>
    <row r="1372" spans="5:12" x14ac:dyDescent="0.25">
      <c r="E1372" s="138"/>
      <c r="F1372" s="138"/>
      <c r="I1372" s="58"/>
      <c r="J1372" s="58"/>
      <c r="K1372" s="59"/>
      <c r="L1372" s="59"/>
    </row>
    <row r="1373" spans="5:12" x14ac:dyDescent="0.25">
      <c r="E1373" s="138"/>
      <c r="F1373" s="138"/>
      <c r="I1373" s="58"/>
      <c r="J1373" s="58"/>
      <c r="K1373" s="59"/>
      <c r="L1373" s="59"/>
    </row>
    <row r="1374" spans="5:12" x14ac:dyDescent="0.25">
      <c r="E1374" s="138"/>
      <c r="F1374" s="138"/>
      <c r="I1374" s="58"/>
      <c r="J1374" s="58"/>
      <c r="K1374" s="59"/>
      <c r="L1374" s="59"/>
    </row>
    <row r="1375" spans="5:12" x14ac:dyDescent="0.25">
      <c r="E1375" s="138"/>
      <c r="F1375" s="138"/>
      <c r="I1375" s="58"/>
      <c r="J1375" s="58"/>
      <c r="K1375" s="59"/>
      <c r="L1375" s="59"/>
    </row>
    <row r="1376" spans="5:12" x14ac:dyDescent="0.25">
      <c r="E1376" s="138"/>
      <c r="F1376" s="138"/>
      <c r="I1376" s="58"/>
      <c r="J1376" s="58"/>
      <c r="K1376" s="59"/>
      <c r="L1376" s="59"/>
    </row>
    <row r="1377" spans="5:12" x14ac:dyDescent="0.25">
      <c r="E1377" s="138"/>
      <c r="F1377" s="138"/>
      <c r="I1377" s="58"/>
      <c r="J1377" s="58"/>
      <c r="K1377" s="59"/>
      <c r="L1377" s="59"/>
    </row>
    <row r="1378" spans="5:12" x14ac:dyDescent="0.25">
      <c r="E1378" s="138"/>
      <c r="F1378" s="138"/>
      <c r="I1378" s="58"/>
      <c r="J1378" s="58"/>
      <c r="K1378" s="59"/>
      <c r="L1378" s="59"/>
    </row>
    <row r="1379" spans="5:12" x14ac:dyDescent="0.25">
      <c r="E1379" s="138"/>
      <c r="F1379" s="138"/>
      <c r="I1379" s="58"/>
      <c r="J1379" s="58"/>
      <c r="K1379" s="59"/>
      <c r="L1379" s="59"/>
    </row>
    <row r="1380" spans="5:12" x14ac:dyDescent="0.25">
      <c r="E1380" s="138"/>
      <c r="F1380" s="138"/>
      <c r="I1380" s="58"/>
      <c r="J1380" s="58"/>
      <c r="K1380" s="59"/>
      <c r="L1380" s="59"/>
    </row>
    <row r="1381" spans="5:12" x14ac:dyDescent="0.25">
      <c r="E1381" s="138"/>
      <c r="F1381" s="138"/>
      <c r="I1381" s="58"/>
      <c r="J1381" s="58"/>
      <c r="K1381" s="59"/>
      <c r="L1381" s="59"/>
    </row>
    <row r="1382" spans="5:12" x14ac:dyDescent="0.25">
      <c r="E1382" s="138"/>
      <c r="F1382" s="138"/>
      <c r="I1382" s="58"/>
      <c r="J1382" s="58"/>
      <c r="K1382" s="59"/>
      <c r="L1382" s="59"/>
    </row>
    <row r="1383" spans="5:12" x14ac:dyDescent="0.25">
      <c r="E1383" s="138"/>
      <c r="F1383" s="138"/>
      <c r="I1383" s="58"/>
      <c r="J1383" s="58"/>
      <c r="K1383" s="59"/>
      <c r="L1383" s="59"/>
    </row>
    <row r="1384" spans="5:12" x14ac:dyDescent="0.25">
      <c r="E1384" s="138"/>
      <c r="F1384" s="138"/>
      <c r="I1384" s="58"/>
      <c r="J1384" s="58"/>
      <c r="K1384" s="59"/>
      <c r="L1384" s="59"/>
    </row>
    <row r="1385" spans="5:12" x14ac:dyDescent="0.25">
      <c r="E1385" s="138"/>
      <c r="F1385" s="138"/>
      <c r="I1385" s="58"/>
      <c r="J1385" s="58"/>
      <c r="K1385" s="59"/>
      <c r="L1385" s="59"/>
    </row>
    <row r="1386" spans="5:12" x14ac:dyDescent="0.25">
      <c r="E1386" s="138"/>
      <c r="F1386" s="138"/>
      <c r="I1386" s="58"/>
      <c r="J1386" s="58"/>
      <c r="K1386" s="59"/>
      <c r="L1386" s="59"/>
    </row>
    <row r="1387" spans="5:12" x14ac:dyDescent="0.25">
      <c r="E1387" s="138"/>
      <c r="F1387" s="138"/>
      <c r="I1387" s="58"/>
      <c r="J1387" s="58"/>
      <c r="K1387" s="59"/>
      <c r="L1387" s="59"/>
    </row>
    <row r="1388" spans="5:12" x14ac:dyDescent="0.25">
      <c r="E1388" s="138"/>
      <c r="F1388" s="138"/>
      <c r="I1388" s="58"/>
      <c r="J1388" s="58"/>
      <c r="K1388" s="59"/>
      <c r="L1388" s="59"/>
    </row>
    <row r="1389" spans="5:12" x14ac:dyDescent="0.25">
      <c r="E1389" s="138"/>
      <c r="F1389" s="138"/>
      <c r="I1389" s="58"/>
      <c r="J1389" s="58"/>
      <c r="K1389" s="59"/>
      <c r="L1389" s="59"/>
    </row>
    <row r="1390" spans="5:12" x14ac:dyDescent="0.25">
      <c r="E1390" s="138"/>
      <c r="F1390" s="138"/>
      <c r="I1390" s="58"/>
      <c r="J1390" s="58"/>
      <c r="K1390" s="59"/>
      <c r="L1390" s="59"/>
    </row>
    <row r="1391" spans="5:12" x14ac:dyDescent="0.25">
      <c r="E1391" s="138"/>
      <c r="F1391" s="138"/>
      <c r="I1391" s="58"/>
      <c r="J1391" s="58"/>
      <c r="K1391" s="59"/>
      <c r="L1391" s="59"/>
    </row>
    <row r="1392" spans="5:12" x14ac:dyDescent="0.25">
      <c r="E1392" s="138"/>
      <c r="F1392" s="138"/>
      <c r="I1392" s="58"/>
      <c r="J1392" s="58"/>
      <c r="K1392" s="59"/>
      <c r="L1392" s="59"/>
    </row>
    <row r="1393" spans="5:12" x14ac:dyDescent="0.25">
      <c r="E1393" s="138"/>
      <c r="F1393" s="138"/>
      <c r="I1393" s="58"/>
      <c r="J1393" s="58"/>
      <c r="K1393" s="59"/>
      <c r="L1393" s="59"/>
    </row>
    <row r="1394" spans="5:12" x14ac:dyDescent="0.25">
      <c r="E1394" s="138"/>
      <c r="F1394" s="138"/>
      <c r="I1394" s="58"/>
      <c r="J1394" s="58"/>
      <c r="K1394" s="59"/>
      <c r="L1394" s="59"/>
    </row>
    <row r="1395" spans="5:12" x14ac:dyDescent="0.25">
      <c r="E1395" s="138"/>
      <c r="F1395" s="138"/>
      <c r="I1395" s="58"/>
      <c r="J1395" s="58"/>
      <c r="K1395" s="59"/>
      <c r="L1395" s="59"/>
    </row>
    <row r="1396" spans="5:12" x14ac:dyDescent="0.25">
      <c r="E1396" s="138"/>
      <c r="F1396" s="138"/>
      <c r="I1396" s="58"/>
      <c r="J1396" s="58"/>
      <c r="K1396" s="59"/>
      <c r="L1396" s="59"/>
    </row>
    <row r="1397" spans="5:12" x14ac:dyDescent="0.25">
      <c r="E1397" s="138"/>
      <c r="F1397" s="138"/>
      <c r="I1397" s="58"/>
      <c r="J1397" s="58"/>
      <c r="K1397" s="59"/>
      <c r="L1397" s="59"/>
    </row>
    <row r="1398" spans="5:12" x14ac:dyDescent="0.25">
      <c r="E1398" s="138"/>
      <c r="F1398" s="138"/>
      <c r="I1398" s="58"/>
      <c r="J1398" s="58"/>
      <c r="K1398" s="59"/>
      <c r="L1398" s="59"/>
    </row>
    <row r="1399" spans="5:12" x14ac:dyDescent="0.25">
      <c r="E1399" s="138"/>
      <c r="F1399" s="138"/>
      <c r="I1399" s="58"/>
      <c r="J1399" s="58"/>
      <c r="K1399" s="59"/>
      <c r="L1399" s="59"/>
    </row>
    <row r="1400" spans="5:12" x14ac:dyDescent="0.25">
      <c r="E1400" s="138"/>
      <c r="F1400" s="138"/>
      <c r="I1400" s="58"/>
      <c r="J1400" s="58"/>
      <c r="K1400" s="59"/>
      <c r="L1400" s="59"/>
    </row>
    <row r="1401" spans="5:12" x14ac:dyDescent="0.25">
      <c r="E1401" s="138"/>
      <c r="F1401" s="138"/>
      <c r="I1401" s="58"/>
      <c r="J1401" s="58"/>
      <c r="K1401" s="59"/>
      <c r="L1401" s="59"/>
    </row>
    <row r="1402" spans="5:12" x14ac:dyDescent="0.25">
      <c r="E1402" s="138"/>
      <c r="F1402" s="138"/>
      <c r="I1402" s="58"/>
      <c r="J1402" s="58"/>
      <c r="K1402" s="59"/>
      <c r="L1402" s="59"/>
    </row>
    <row r="1403" spans="5:12" x14ac:dyDescent="0.25">
      <c r="E1403" s="138"/>
      <c r="F1403" s="138"/>
      <c r="I1403" s="58"/>
      <c r="J1403" s="58"/>
      <c r="K1403" s="59"/>
      <c r="L1403" s="59"/>
    </row>
    <row r="1404" spans="5:12" x14ac:dyDescent="0.25">
      <c r="E1404" s="138"/>
      <c r="F1404" s="138"/>
      <c r="I1404" s="58"/>
      <c r="J1404" s="58"/>
      <c r="K1404" s="59"/>
      <c r="L1404" s="59"/>
    </row>
    <row r="1405" spans="5:12" x14ac:dyDescent="0.25">
      <c r="E1405" s="138"/>
      <c r="F1405" s="138"/>
      <c r="I1405" s="58"/>
      <c r="J1405" s="58"/>
      <c r="K1405" s="59"/>
      <c r="L1405" s="59"/>
    </row>
    <row r="1406" spans="5:12" x14ac:dyDescent="0.25">
      <c r="E1406" s="138"/>
      <c r="F1406" s="138"/>
      <c r="I1406" s="58"/>
      <c r="J1406" s="58"/>
      <c r="K1406" s="59"/>
      <c r="L1406" s="59"/>
    </row>
    <row r="1407" spans="5:12" x14ac:dyDescent="0.25">
      <c r="E1407" s="138"/>
      <c r="F1407" s="138"/>
      <c r="I1407" s="58"/>
      <c r="J1407" s="58"/>
      <c r="K1407" s="59"/>
      <c r="L1407" s="59"/>
    </row>
    <row r="1408" spans="5:12" x14ac:dyDescent="0.25">
      <c r="E1408" s="138"/>
      <c r="F1408" s="138"/>
      <c r="I1408" s="58"/>
      <c r="J1408" s="58"/>
      <c r="K1408" s="59"/>
      <c r="L1408" s="59"/>
    </row>
    <row r="1409" spans="5:12" x14ac:dyDescent="0.25">
      <c r="E1409" s="138"/>
      <c r="F1409" s="138"/>
      <c r="I1409" s="58"/>
      <c r="J1409" s="58"/>
      <c r="K1409" s="59"/>
      <c r="L1409" s="59"/>
    </row>
    <row r="1410" spans="5:12" x14ac:dyDescent="0.25">
      <c r="E1410" s="138"/>
      <c r="F1410" s="138"/>
      <c r="I1410" s="58"/>
      <c r="J1410" s="58"/>
      <c r="K1410" s="59"/>
      <c r="L1410" s="59"/>
    </row>
    <row r="1411" spans="5:12" x14ac:dyDescent="0.25">
      <c r="E1411" s="138"/>
      <c r="F1411" s="138"/>
      <c r="I1411" s="58"/>
      <c r="J1411" s="58"/>
      <c r="K1411" s="59"/>
      <c r="L1411" s="59"/>
    </row>
    <row r="1412" spans="5:12" x14ac:dyDescent="0.25">
      <c r="E1412" s="138"/>
      <c r="F1412" s="138"/>
      <c r="I1412" s="58"/>
      <c r="J1412" s="58"/>
      <c r="K1412" s="59"/>
      <c r="L1412" s="59"/>
    </row>
    <row r="1413" spans="5:12" x14ac:dyDescent="0.25">
      <c r="E1413" s="138"/>
      <c r="F1413" s="138"/>
      <c r="I1413" s="58"/>
      <c r="J1413" s="58"/>
      <c r="K1413" s="59"/>
      <c r="L1413" s="59"/>
    </row>
    <row r="1414" spans="5:12" x14ac:dyDescent="0.25">
      <c r="E1414" s="138"/>
      <c r="F1414" s="138"/>
      <c r="I1414" s="58"/>
      <c r="J1414" s="58"/>
      <c r="K1414" s="59"/>
      <c r="L1414" s="59"/>
    </row>
    <row r="1415" spans="5:12" x14ac:dyDescent="0.25">
      <c r="E1415" s="138"/>
      <c r="F1415" s="138"/>
      <c r="I1415" s="58"/>
      <c r="J1415" s="58"/>
      <c r="K1415" s="59"/>
      <c r="L1415" s="59"/>
    </row>
    <row r="1416" spans="5:12" x14ac:dyDescent="0.25">
      <c r="E1416" s="138"/>
      <c r="F1416" s="138"/>
      <c r="I1416" s="58"/>
      <c r="J1416" s="58"/>
      <c r="K1416" s="59"/>
      <c r="L1416" s="59"/>
    </row>
    <row r="1417" spans="5:12" x14ac:dyDescent="0.25">
      <c r="E1417" s="138"/>
      <c r="F1417" s="138"/>
      <c r="I1417" s="58"/>
      <c r="J1417" s="58"/>
      <c r="K1417" s="59"/>
      <c r="L1417" s="59"/>
    </row>
    <row r="1418" spans="5:12" x14ac:dyDescent="0.25">
      <c r="E1418" s="138"/>
      <c r="F1418" s="138"/>
      <c r="I1418" s="58"/>
      <c r="J1418" s="58"/>
      <c r="K1418" s="59"/>
      <c r="L1418" s="59"/>
    </row>
    <row r="1419" spans="5:12" x14ac:dyDescent="0.25">
      <c r="E1419" s="138"/>
      <c r="F1419" s="138"/>
      <c r="I1419" s="58"/>
      <c r="J1419" s="58"/>
      <c r="K1419" s="59"/>
      <c r="L1419" s="59"/>
    </row>
    <row r="1420" spans="5:12" x14ac:dyDescent="0.25">
      <c r="E1420" s="138"/>
      <c r="F1420" s="138"/>
      <c r="I1420" s="58"/>
      <c r="J1420" s="58"/>
      <c r="K1420" s="59"/>
      <c r="L1420" s="59"/>
    </row>
    <row r="1421" spans="5:12" x14ac:dyDescent="0.25">
      <c r="E1421" s="138"/>
      <c r="F1421" s="138"/>
      <c r="I1421" s="58"/>
      <c r="J1421" s="58"/>
      <c r="K1421" s="59"/>
      <c r="L1421" s="59"/>
    </row>
    <row r="1422" spans="5:12" x14ac:dyDescent="0.25">
      <c r="E1422" s="138"/>
      <c r="F1422" s="138"/>
      <c r="I1422" s="58"/>
      <c r="J1422" s="58"/>
      <c r="K1422" s="59"/>
      <c r="L1422" s="59"/>
    </row>
    <row r="1423" spans="5:12" x14ac:dyDescent="0.25">
      <c r="E1423" s="138"/>
      <c r="F1423" s="138"/>
      <c r="I1423" s="58"/>
      <c r="J1423" s="58"/>
      <c r="K1423" s="59"/>
      <c r="L1423" s="59"/>
    </row>
    <row r="1424" spans="5:12" x14ac:dyDescent="0.25">
      <c r="E1424" s="138"/>
      <c r="F1424" s="138"/>
      <c r="I1424" s="58"/>
      <c r="J1424" s="58"/>
      <c r="K1424" s="59"/>
      <c r="L1424" s="59"/>
    </row>
    <row r="1425" spans="5:12" x14ac:dyDescent="0.25">
      <c r="E1425" s="138"/>
      <c r="F1425" s="138"/>
      <c r="I1425" s="58"/>
      <c r="J1425" s="58"/>
      <c r="K1425" s="59"/>
      <c r="L1425" s="59"/>
    </row>
    <row r="1426" spans="5:12" x14ac:dyDescent="0.25">
      <c r="E1426" s="138"/>
      <c r="F1426" s="138"/>
      <c r="I1426" s="58"/>
      <c r="J1426" s="58"/>
      <c r="K1426" s="59"/>
      <c r="L1426" s="59"/>
    </row>
    <row r="1427" spans="5:12" x14ac:dyDescent="0.25">
      <c r="E1427" s="138"/>
      <c r="F1427" s="138"/>
      <c r="I1427" s="58"/>
      <c r="J1427" s="58"/>
      <c r="K1427" s="59"/>
      <c r="L1427" s="59"/>
    </row>
    <row r="1428" spans="5:12" x14ac:dyDescent="0.25">
      <c r="E1428" s="138"/>
      <c r="F1428" s="138"/>
      <c r="I1428" s="58"/>
      <c r="J1428" s="58"/>
      <c r="K1428" s="59"/>
      <c r="L1428" s="59"/>
    </row>
    <row r="1429" spans="5:12" x14ac:dyDescent="0.25">
      <c r="E1429" s="138"/>
      <c r="F1429" s="138"/>
      <c r="I1429" s="58"/>
      <c r="J1429" s="58"/>
      <c r="K1429" s="59"/>
      <c r="L1429" s="59"/>
    </row>
    <row r="1430" spans="5:12" x14ac:dyDescent="0.25">
      <c r="E1430" s="138"/>
      <c r="F1430" s="138"/>
      <c r="I1430" s="58"/>
      <c r="J1430" s="58"/>
      <c r="K1430" s="59"/>
      <c r="L1430" s="59"/>
    </row>
    <row r="1431" spans="5:12" x14ac:dyDescent="0.25">
      <c r="E1431" s="138"/>
      <c r="F1431" s="138"/>
      <c r="I1431" s="58"/>
      <c r="J1431" s="58"/>
      <c r="K1431" s="59"/>
      <c r="L1431" s="59"/>
    </row>
    <row r="1432" spans="5:12" x14ac:dyDescent="0.25">
      <c r="E1432" s="138"/>
      <c r="F1432" s="138"/>
      <c r="I1432" s="58"/>
      <c r="J1432" s="58"/>
      <c r="K1432" s="59"/>
      <c r="L1432" s="59"/>
    </row>
    <row r="1433" spans="5:12" x14ac:dyDescent="0.25">
      <c r="E1433" s="138"/>
      <c r="F1433" s="138"/>
      <c r="I1433" s="58"/>
      <c r="J1433" s="58"/>
      <c r="K1433" s="59"/>
      <c r="L1433" s="59"/>
    </row>
    <row r="1434" spans="5:12" x14ac:dyDescent="0.25">
      <c r="E1434" s="138"/>
      <c r="F1434" s="138"/>
      <c r="I1434" s="58"/>
      <c r="J1434" s="58"/>
      <c r="K1434" s="59"/>
      <c r="L1434" s="59"/>
    </row>
    <row r="1435" spans="5:12" x14ac:dyDescent="0.25">
      <c r="E1435" s="138"/>
      <c r="F1435" s="138"/>
      <c r="I1435" s="58"/>
      <c r="J1435" s="58"/>
      <c r="K1435" s="59"/>
      <c r="L1435" s="59"/>
    </row>
    <row r="1436" spans="5:12" x14ac:dyDescent="0.25">
      <c r="E1436" s="138"/>
      <c r="F1436" s="138"/>
      <c r="I1436" s="58"/>
      <c r="J1436" s="58"/>
      <c r="K1436" s="59"/>
      <c r="L1436" s="59"/>
    </row>
    <row r="1437" spans="5:12" x14ac:dyDescent="0.25">
      <c r="E1437" s="138"/>
      <c r="F1437" s="138"/>
      <c r="I1437" s="58"/>
      <c r="J1437" s="58"/>
      <c r="K1437" s="59"/>
      <c r="L1437" s="59"/>
    </row>
    <row r="1438" spans="5:12" x14ac:dyDescent="0.25">
      <c r="E1438" s="138"/>
      <c r="F1438" s="138"/>
      <c r="I1438" s="58"/>
      <c r="J1438" s="58"/>
      <c r="K1438" s="59"/>
      <c r="L1438" s="59"/>
    </row>
    <row r="1439" spans="5:12" x14ac:dyDescent="0.25">
      <c r="E1439" s="138"/>
      <c r="F1439" s="138"/>
      <c r="I1439" s="58"/>
      <c r="J1439" s="58"/>
      <c r="K1439" s="59"/>
      <c r="L1439" s="59"/>
    </row>
    <row r="1440" spans="5:12" x14ac:dyDescent="0.25">
      <c r="E1440" s="138"/>
      <c r="F1440" s="138"/>
      <c r="I1440" s="58"/>
      <c r="J1440" s="58"/>
      <c r="K1440" s="59"/>
      <c r="L1440" s="59"/>
    </row>
    <row r="1441" spans="5:12" x14ac:dyDescent="0.25">
      <c r="E1441" s="138"/>
      <c r="F1441" s="138"/>
      <c r="I1441" s="58"/>
      <c r="J1441" s="58"/>
      <c r="K1441" s="59"/>
      <c r="L1441" s="59"/>
    </row>
    <row r="1442" spans="5:12" x14ac:dyDescent="0.25">
      <c r="E1442" s="138"/>
      <c r="F1442" s="138"/>
      <c r="I1442" s="58"/>
      <c r="J1442" s="58"/>
      <c r="K1442" s="59"/>
      <c r="L1442" s="59"/>
    </row>
    <row r="1443" spans="5:12" x14ac:dyDescent="0.25">
      <c r="E1443" s="138"/>
      <c r="F1443" s="138"/>
      <c r="I1443" s="58"/>
      <c r="J1443" s="58"/>
      <c r="K1443" s="59"/>
      <c r="L1443" s="59"/>
    </row>
    <row r="1444" spans="5:12" x14ac:dyDescent="0.25">
      <c r="E1444" s="138"/>
      <c r="F1444" s="138"/>
      <c r="I1444" s="58"/>
      <c r="J1444" s="58"/>
      <c r="K1444" s="59"/>
      <c r="L1444" s="59"/>
    </row>
    <row r="1445" spans="5:12" x14ac:dyDescent="0.25">
      <c r="E1445" s="138"/>
      <c r="F1445" s="138"/>
      <c r="I1445" s="58"/>
      <c r="J1445" s="58"/>
      <c r="K1445" s="59"/>
      <c r="L1445" s="59"/>
    </row>
    <row r="1446" spans="5:12" x14ac:dyDescent="0.25">
      <c r="E1446" s="138"/>
      <c r="F1446" s="138"/>
      <c r="I1446" s="58"/>
      <c r="J1446" s="58"/>
      <c r="K1446" s="59"/>
      <c r="L1446" s="59"/>
    </row>
    <row r="1447" spans="5:12" x14ac:dyDescent="0.25">
      <c r="E1447" s="138"/>
      <c r="F1447" s="138"/>
      <c r="I1447" s="58"/>
      <c r="J1447" s="58"/>
      <c r="K1447" s="59"/>
      <c r="L1447" s="59"/>
    </row>
    <row r="1448" spans="5:12" x14ac:dyDescent="0.25">
      <c r="E1448" s="138"/>
      <c r="F1448" s="138"/>
      <c r="I1448" s="58"/>
      <c r="J1448" s="58"/>
      <c r="K1448" s="59"/>
      <c r="L1448" s="59"/>
    </row>
    <row r="1449" spans="5:12" x14ac:dyDescent="0.25">
      <c r="E1449" s="138"/>
      <c r="F1449" s="138"/>
      <c r="I1449" s="58"/>
      <c r="J1449" s="58"/>
      <c r="K1449" s="59"/>
      <c r="L1449" s="59"/>
    </row>
    <row r="1450" spans="5:12" x14ac:dyDescent="0.25">
      <c r="E1450" s="138"/>
      <c r="F1450" s="138"/>
      <c r="I1450" s="58"/>
      <c r="J1450" s="58"/>
      <c r="K1450" s="59"/>
      <c r="L1450" s="59"/>
    </row>
    <row r="1451" spans="5:12" x14ac:dyDescent="0.25">
      <c r="E1451" s="138"/>
      <c r="F1451" s="138"/>
      <c r="I1451" s="58"/>
      <c r="J1451" s="58"/>
      <c r="K1451" s="59"/>
      <c r="L1451" s="59"/>
    </row>
    <row r="1452" spans="5:12" x14ac:dyDescent="0.25">
      <c r="E1452" s="138"/>
      <c r="F1452" s="138"/>
      <c r="I1452" s="58"/>
      <c r="J1452" s="58"/>
      <c r="K1452" s="59"/>
      <c r="L1452" s="59"/>
    </row>
    <row r="1453" spans="5:12" x14ac:dyDescent="0.25">
      <c r="E1453" s="138"/>
      <c r="F1453" s="138"/>
      <c r="I1453" s="58"/>
      <c r="J1453" s="58"/>
      <c r="K1453" s="59"/>
      <c r="L1453" s="59"/>
    </row>
    <row r="1454" spans="5:12" x14ac:dyDescent="0.25">
      <c r="E1454" s="138"/>
      <c r="F1454" s="138"/>
      <c r="I1454" s="58"/>
      <c r="J1454" s="58"/>
      <c r="K1454" s="59"/>
      <c r="L1454" s="59"/>
    </row>
    <row r="1455" spans="5:12" x14ac:dyDescent="0.25">
      <c r="E1455" s="138"/>
      <c r="F1455" s="138"/>
      <c r="I1455" s="58"/>
      <c r="J1455" s="58"/>
      <c r="K1455" s="59"/>
      <c r="L1455" s="59"/>
    </row>
    <row r="1456" spans="5:12" x14ac:dyDescent="0.25">
      <c r="E1456" s="138"/>
      <c r="F1456" s="138"/>
      <c r="I1456" s="58"/>
      <c r="J1456" s="58"/>
      <c r="K1456" s="59"/>
      <c r="L1456" s="59"/>
    </row>
    <row r="1457" spans="5:12" x14ac:dyDescent="0.25">
      <c r="E1457" s="138"/>
      <c r="F1457" s="138"/>
      <c r="I1457" s="58"/>
      <c r="J1457" s="58"/>
      <c r="K1457" s="59"/>
      <c r="L1457" s="59"/>
    </row>
    <row r="1458" spans="5:12" x14ac:dyDescent="0.25">
      <c r="E1458" s="138"/>
      <c r="F1458" s="138"/>
      <c r="I1458" s="58"/>
      <c r="J1458" s="58"/>
      <c r="K1458" s="59"/>
      <c r="L1458" s="59"/>
    </row>
    <row r="1459" spans="5:12" x14ac:dyDescent="0.25">
      <c r="E1459" s="138"/>
      <c r="F1459" s="138"/>
      <c r="I1459" s="58"/>
      <c r="J1459" s="58"/>
      <c r="K1459" s="59"/>
      <c r="L1459" s="59"/>
    </row>
    <row r="1460" spans="5:12" x14ac:dyDescent="0.25">
      <c r="E1460" s="138"/>
      <c r="F1460" s="138"/>
      <c r="I1460" s="58"/>
      <c r="J1460" s="58"/>
      <c r="K1460" s="59"/>
      <c r="L1460" s="59"/>
    </row>
    <row r="1461" spans="5:12" x14ac:dyDescent="0.25">
      <c r="E1461" s="138"/>
      <c r="F1461" s="138"/>
      <c r="I1461" s="58"/>
      <c r="J1461" s="58"/>
      <c r="K1461" s="59"/>
      <c r="L1461" s="59"/>
    </row>
    <row r="1462" spans="5:12" x14ac:dyDescent="0.25">
      <c r="E1462" s="138"/>
      <c r="F1462" s="138"/>
      <c r="I1462" s="58"/>
      <c r="J1462" s="58"/>
      <c r="K1462" s="59"/>
      <c r="L1462" s="59"/>
    </row>
    <row r="1463" spans="5:12" x14ac:dyDescent="0.25">
      <c r="E1463" s="138"/>
      <c r="F1463" s="138"/>
      <c r="I1463" s="58"/>
      <c r="J1463" s="58"/>
      <c r="K1463" s="59"/>
      <c r="L1463" s="59"/>
    </row>
    <row r="1464" spans="5:12" x14ac:dyDescent="0.25">
      <c r="E1464" s="138"/>
      <c r="F1464" s="138"/>
      <c r="I1464" s="58"/>
      <c r="J1464" s="58"/>
      <c r="K1464" s="59"/>
      <c r="L1464" s="59"/>
    </row>
    <row r="1465" spans="5:12" x14ac:dyDescent="0.25">
      <c r="E1465" s="138"/>
      <c r="F1465" s="138"/>
      <c r="I1465" s="58"/>
      <c r="J1465" s="58"/>
      <c r="K1465" s="59"/>
      <c r="L1465" s="59"/>
    </row>
    <row r="1466" spans="5:12" x14ac:dyDescent="0.25">
      <c r="E1466" s="138"/>
      <c r="F1466" s="138"/>
      <c r="I1466" s="58"/>
      <c r="J1466" s="58"/>
      <c r="K1466" s="59"/>
      <c r="L1466" s="59"/>
    </row>
    <row r="1467" spans="5:12" x14ac:dyDescent="0.25">
      <c r="E1467" s="138"/>
      <c r="F1467" s="138"/>
      <c r="I1467" s="58"/>
      <c r="J1467" s="58"/>
      <c r="K1467" s="59"/>
      <c r="L1467" s="59"/>
    </row>
    <row r="1468" spans="5:12" x14ac:dyDescent="0.25">
      <c r="E1468" s="138"/>
      <c r="F1468" s="138"/>
      <c r="I1468" s="58"/>
      <c r="J1468" s="58"/>
      <c r="K1468" s="59"/>
      <c r="L1468" s="59"/>
    </row>
    <row r="1469" spans="5:12" x14ac:dyDescent="0.25">
      <c r="E1469" s="138"/>
      <c r="F1469" s="138"/>
      <c r="I1469" s="58"/>
      <c r="J1469" s="58"/>
      <c r="K1469" s="59"/>
      <c r="L1469" s="59"/>
    </row>
    <row r="1470" spans="5:12" x14ac:dyDescent="0.25">
      <c r="E1470" s="138"/>
      <c r="F1470" s="138"/>
      <c r="I1470" s="58"/>
      <c r="J1470" s="58"/>
      <c r="K1470" s="59"/>
      <c r="L1470" s="59"/>
    </row>
    <row r="1471" spans="5:12" x14ac:dyDescent="0.25">
      <c r="E1471" s="138"/>
      <c r="F1471" s="138"/>
      <c r="I1471" s="58"/>
      <c r="J1471" s="58"/>
      <c r="K1471" s="59"/>
      <c r="L1471" s="59"/>
    </row>
    <row r="1472" spans="5:12" x14ac:dyDescent="0.25">
      <c r="E1472" s="138"/>
      <c r="F1472" s="138"/>
      <c r="I1472" s="58"/>
      <c r="J1472" s="58"/>
      <c r="K1472" s="59"/>
      <c r="L1472" s="59"/>
    </row>
    <row r="1473" spans="5:12" x14ac:dyDescent="0.25">
      <c r="E1473" s="138"/>
      <c r="F1473" s="138"/>
      <c r="I1473" s="58"/>
      <c r="J1473" s="58"/>
      <c r="K1473" s="59"/>
      <c r="L1473" s="59"/>
    </row>
    <row r="1474" spans="5:12" x14ac:dyDescent="0.25">
      <c r="E1474" s="138"/>
      <c r="F1474" s="138"/>
      <c r="I1474" s="58"/>
      <c r="J1474" s="58"/>
      <c r="K1474" s="59"/>
      <c r="L1474" s="59"/>
    </row>
    <row r="1475" spans="5:12" x14ac:dyDescent="0.25">
      <c r="E1475" s="138"/>
      <c r="F1475" s="138"/>
      <c r="I1475" s="58"/>
      <c r="J1475" s="58"/>
      <c r="K1475" s="59"/>
      <c r="L1475" s="59"/>
    </row>
    <row r="1476" spans="5:12" x14ac:dyDescent="0.25">
      <c r="E1476" s="138"/>
      <c r="F1476" s="138"/>
      <c r="I1476" s="58"/>
      <c r="J1476" s="58"/>
      <c r="K1476" s="59"/>
      <c r="L1476" s="59"/>
    </row>
    <row r="1477" spans="5:12" x14ac:dyDescent="0.25">
      <c r="E1477" s="138"/>
      <c r="F1477" s="138"/>
      <c r="I1477" s="58"/>
      <c r="J1477" s="58"/>
      <c r="K1477" s="59"/>
      <c r="L1477" s="59"/>
    </row>
    <row r="1478" spans="5:12" x14ac:dyDescent="0.25">
      <c r="E1478" s="138"/>
      <c r="F1478" s="138"/>
      <c r="I1478" s="58"/>
      <c r="J1478" s="58"/>
      <c r="K1478" s="59"/>
      <c r="L1478" s="59"/>
    </row>
    <row r="1479" spans="5:12" x14ac:dyDescent="0.25">
      <c r="E1479" s="138"/>
      <c r="F1479" s="138"/>
      <c r="I1479" s="58"/>
      <c r="J1479" s="58"/>
      <c r="K1479" s="59"/>
      <c r="L1479" s="59"/>
    </row>
    <row r="1480" spans="5:12" x14ac:dyDescent="0.25">
      <c r="E1480" s="138"/>
      <c r="F1480" s="138"/>
      <c r="I1480" s="58"/>
      <c r="J1480" s="58"/>
      <c r="K1480" s="59"/>
      <c r="L1480" s="59"/>
    </row>
    <row r="1481" spans="5:12" x14ac:dyDescent="0.25">
      <c r="E1481" s="138"/>
      <c r="F1481" s="138"/>
      <c r="I1481" s="58"/>
      <c r="J1481" s="58"/>
      <c r="K1481" s="59"/>
      <c r="L1481" s="59"/>
    </row>
    <row r="1482" spans="5:12" x14ac:dyDescent="0.25">
      <c r="E1482" s="138"/>
      <c r="F1482" s="138"/>
      <c r="I1482" s="58"/>
      <c r="J1482" s="58"/>
      <c r="K1482" s="59"/>
      <c r="L1482" s="59"/>
    </row>
    <row r="1483" spans="5:12" x14ac:dyDescent="0.25">
      <c r="E1483" s="138"/>
      <c r="F1483" s="138"/>
      <c r="I1483" s="58"/>
      <c r="J1483" s="58"/>
      <c r="K1483" s="59"/>
      <c r="L1483" s="59"/>
    </row>
    <row r="1484" spans="5:12" x14ac:dyDescent="0.25">
      <c r="E1484" s="138"/>
      <c r="F1484" s="138"/>
      <c r="I1484" s="58"/>
      <c r="J1484" s="58"/>
      <c r="K1484" s="59"/>
      <c r="L1484" s="59"/>
    </row>
    <row r="1485" spans="5:12" x14ac:dyDescent="0.25">
      <c r="E1485" s="138"/>
      <c r="F1485" s="138"/>
      <c r="I1485" s="58"/>
      <c r="J1485" s="58"/>
      <c r="K1485" s="59"/>
      <c r="L1485" s="59"/>
    </row>
    <row r="1486" spans="5:12" x14ac:dyDescent="0.25">
      <c r="E1486" s="138"/>
      <c r="F1486" s="138"/>
      <c r="I1486" s="58"/>
      <c r="J1486" s="58"/>
      <c r="K1486" s="59"/>
      <c r="L1486" s="59"/>
    </row>
    <row r="1487" spans="5:12" x14ac:dyDescent="0.25">
      <c r="E1487" s="138"/>
      <c r="F1487" s="138"/>
      <c r="I1487" s="58"/>
      <c r="J1487" s="58"/>
      <c r="K1487" s="59"/>
      <c r="L1487" s="59"/>
    </row>
    <row r="1488" spans="5:12" x14ac:dyDescent="0.25">
      <c r="E1488" s="138"/>
      <c r="F1488" s="138"/>
      <c r="I1488" s="58"/>
      <c r="J1488" s="58"/>
      <c r="K1488" s="59"/>
      <c r="L1488" s="59"/>
    </row>
    <row r="1489" spans="5:12" x14ac:dyDescent="0.25">
      <c r="E1489" s="138"/>
      <c r="F1489" s="138"/>
      <c r="I1489" s="58"/>
      <c r="J1489" s="58"/>
      <c r="K1489" s="59"/>
      <c r="L1489" s="59"/>
    </row>
    <row r="1490" spans="5:12" x14ac:dyDescent="0.25">
      <c r="E1490" s="138"/>
      <c r="F1490" s="138"/>
      <c r="I1490" s="58"/>
      <c r="J1490" s="58"/>
      <c r="K1490" s="59"/>
      <c r="L1490" s="59"/>
    </row>
    <row r="1491" spans="5:12" x14ac:dyDescent="0.25">
      <c r="E1491" s="138"/>
      <c r="F1491" s="138"/>
      <c r="I1491" s="58"/>
      <c r="J1491" s="58"/>
      <c r="K1491" s="59"/>
      <c r="L1491" s="59"/>
    </row>
    <row r="1492" spans="5:12" x14ac:dyDescent="0.25">
      <c r="E1492" s="138"/>
      <c r="F1492" s="138"/>
      <c r="I1492" s="58"/>
      <c r="J1492" s="58"/>
      <c r="K1492" s="59"/>
      <c r="L1492" s="59"/>
    </row>
    <row r="1493" spans="5:12" x14ac:dyDescent="0.25">
      <c r="E1493" s="138"/>
      <c r="F1493" s="138"/>
      <c r="I1493" s="58"/>
      <c r="J1493" s="58"/>
      <c r="K1493" s="59"/>
      <c r="L1493" s="59"/>
    </row>
    <row r="1494" spans="5:12" x14ac:dyDescent="0.25">
      <c r="E1494" s="138"/>
      <c r="F1494" s="138"/>
      <c r="I1494" s="58"/>
      <c r="J1494" s="58"/>
      <c r="K1494" s="59"/>
      <c r="L1494" s="59"/>
    </row>
    <row r="1495" spans="5:12" x14ac:dyDescent="0.25">
      <c r="E1495" s="138"/>
      <c r="F1495" s="138"/>
      <c r="I1495" s="58"/>
      <c r="J1495" s="58"/>
      <c r="K1495" s="59"/>
      <c r="L1495" s="59"/>
    </row>
    <row r="1496" spans="5:12" x14ac:dyDescent="0.25">
      <c r="E1496" s="138"/>
      <c r="F1496" s="138"/>
      <c r="I1496" s="58"/>
      <c r="J1496" s="58"/>
      <c r="K1496" s="59"/>
      <c r="L1496" s="59"/>
    </row>
    <row r="1497" spans="5:12" x14ac:dyDescent="0.25">
      <c r="E1497" s="138"/>
      <c r="F1497" s="138"/>
      <c r="I1497" s="58"/>
      <c r="J1497" s="58"/>
      <c r="K1497" s="59"/>
      <c r="L1497" s="59"/>
    </row>
    <row r="1498" spans="5:12" x14ac:dyDescent="0.25">
      <c r="E1498" s="138"/>
      <c r="F1498" s="138"/>
      <c r="I1498" s="58"/>
      <c r="J1498" s="58"/>
      <c r="K1498" s="59"/>
      <c r="L1498" s="59"/>
    </row>
    <row r="1499" spans="5:12" x14ac:dyDescent="0.25">
      <c r="E1499" s="138"/>
      <c r="F1499" s="138"/>
      <c r="I1499" s="58"/>
      <c r="J1499" s="58"/>
      <c r="K1499" s="59"/>
      <c r="L1499" s="59"/>
    </row>
    <row r="1500" spans="5:12" x14ac:dyDescent="0.25">
      <c r="E1500" s="138"/>
      <c r="F1500" s="138"/>
      <c r="I1500" s="58"/>
      <c r="J1500" s="58"/>
      <c r="K1500" s="59"/>
      <c r="L1500" s="59"/>
    </row>
    <row r="1501" spans="5:12" x14ac:dyDescent="0.25">
      <c r="E1501" s="138"/>
      <c r="F1501" s="138"/>
      <c r="I1501" s="58"/>
      <c r="J1501" s="58"/>
      <c r="K1501" s="59"/>
      <c r="L1501" s="59"/>
    </row>
    <row r="1502" spans="5:12" x14ac:dyDescent="0.25">
      <c r="E1502" s="138"/>
      <c r="F1502" s="138"/>
      <c r="I1502" s="58"/>
      <c r="J1502" s="58"/>
      <c r="K1502" s="59"/>
      <c r="L1502" s="59"/>
    </row>
    <row r="1503" spans="5:12" x14ac:dyDescent="0.25">
      <c r="E1503" s="138"/>
      <c r="F1503" s="138"/>
      <c r="I1503" s="58"/>
      <c r="J1503" s="58"/>
      <c r="K1503" s="59"/>
      <c r="L1503" s="59"/>
    </row>
    <row r="1504" spans="5:12" x14ac:dyDescent="0.25">
      <c r="E1504" s="138"/>
      <c r="F1504" s="138"/>
      <c r="I1504" s="58"/>
      <c r="J1504" s="58"/>
      <c r="K1504" s="59"/>
      <c r="L1504" s="59"/>
    </row>
    <row r="1505" spans="5:12" x14ac:dyDescent="0.25">
      <c r="E1505" s="138"/>
      <c r="F1505" s="138"/>
      <c r="I1505" s="58"/>
      <c r="J1505" s="58"/>
      <c r="K1505" s="59"/>
      <c r="L1505" s="59"/>
    </row>
    <row r="1506" spans="5:12" x14ac:dyDescent="0.25">
      <c r="E1506" s="138"/>
      <c r="F1506" s="138"/>
      <c r="I1506" s="58"/>
      <c r="J1506" s="58"/>
      <c r="K1506" s="59"/>
      <c r="L1506" s="59"/>
    </row>
    <row r="1507" spans="5:12" x14ac:dyDescent="0.25">
      <c r="E1507" s="138"/>
      <c r="F1507" s="138"/>
      <c r="I1507" s="58"/>
      <c r="J1507" s="58"/>
      <c r="K1507" s="59"/>
      <c r="L1507" s="59"/>
    </row>
    <row r="1508" spans="5:12" x14ac:dyDescent="0.25">
      <c r="E1508" s="138"/>
      <c r="F1508" s="138"/>
      <c r="I1508" s="58"/>
      <c r="J1508" s="58"/>
      <c r="K1508" s="59"/>
      <c r="L1508" s="59"/>
    </row>
    <row r="1509" spans="5:12" x14ac:dyDescent="0.25">
      <c r="E1509" s="138"/>
      <c r="F1509" s="138"/>
      <c r="I1509" s="58"/>
      <c r="J1509" s="58"/>
      <c r="K1509" s="59"/>
      <c r="L1509" s="59"/>
    </row>
    <row r="1510" spans="5:12" x14ac:dyDescent="0.25">
      <c r="E1510" s="138"/>
      <c r="F1510" s="138"/>
      <c r="I1510" s="58"/>
      <c r="J1510" s="58"/>
      <c r="K1510" s="59"/>
      <c r="L1510" s="59"/>
    </row>
    <row r="1511" spans="5:12" x14ac:dyDescent="0.25">
      <c r="E1511" s="138"/>
      <c r="F1511" s="138"/>
      <c r="I1511" s="58"/>
      <c r="J1511" s="58"/>
      <c r="K1511" s="59"/>
      <c r="L1511" s="59"/>
    </row>
    <row r="1512" spans="5:12" x14ac:dyDescent="0.25">
      <c r="E1512" s="138"/>
      <c r="F1512" s="138"/>
      <c r="I1512" s="58"/>
      <c r="J1512" s="58"/>
      <c r="K1512" s="59"/>
      <c r="L1512" s="59"/>
    </row>
    <row r="1513" spans="5:12" x14ac:dyDescent="0.25">
      <c r="E1513" s="138"/>
      <c r="F1513" s="138"/>
      <c r="I1513" s="58"/>
      <c r="J1513" s="58"/>
      <c r="K1513" s="59"/>
      <c r="L1513" s="59"/>
    </row>
    <row r="1514" spans="5:12" x14ac:dyDescent="0.25">
      <c r="E1514" s="138"/>
      <c r="F1514" s="138"/>
      <c r="I1514" s="58"/>
      <c r="J1514" s="58"/>
      <c r="K1514" s="59"/>
      <c r="L1514" s="59"/>
    </row>
    <row r="1515" spans="5:12" x14ac:dyDescent="0.25">
      <c r="E1515" s="138"/>
      <c r="F1515" s="138"/>
      <c r="I1515" s="58"/>
      <c r="J1515" s="58"/>
      <c r="K1515" s="59"/>
      <c r="L1515" s="59"/>
    </row>
    <row r="1516" spans="5:12" x14ac:dyDescent="0.25">
      <c r="E1516" s="138"/>
      <c r="F1516" s="138"/>
      <c r="I1516" s="58"/>
      <c r="J1516" s="58"/>
      <c r="K1516" s="59"/>
      <c r="L1516" s="59"/>
    </row>
    <row r="1517" spans="5:12" x14ac:dyDescent="0.25">
      <c r="E1517" s="138"/>
      <c r="F1517" s="138"/>
      <c r="I1517" s="58"/>
      <c r="J1517" s="58"/>
      <c r="K1517" s="59"/>
      <c r="L1517" s="59"/>
    </row>
    <row r="1518" spans="5:12" x14ac:dyDescent="0.25">
      <c r="E1518" s="138"/>
      <c r="F1518" s="138"/>
      <c r="I1518" s="58"/>
      <c r="J1518" s="58"/>
      <c r="K1518" s="59"/>
      <c r="L1518" s="59"/>
    </row>
    <row r="1519" spans="5:12" x14ac:dyDescent="0.25">
      <c r="E1519" s="138"/>
      <c r="F1519" s="138"/>
      <c r="I1519" s="58"/>
      <c r="J1519" s="58"/>
      <c r="K1519" s="59"/>
      <c r="L1519" s="59"/>
    </row>
    <row r="1520" spans="5:12" x14ac:dyDescent="0.25">
      <c r="E1520" s="138"/>
      <c r="F1520" s="138"/>
      <c r="I1520" s="58"/>
      <c r="J1520" s="58"/>
      <c r="K1520" s="59"/>
      <c r="L1520" s="59"/>
    </row>
    <row r="1521" spans="5:12" x14ac:dyDescent="0.25">
      <c r="E1521" s="138"/>
      <c r="F1521" s="138"/>
      <c r="I1521" s="58"/>
      <c r="J1521" s="58"/>
      <c r="K1521" s="59"/>
      <c r="L1521" s="59"/>
    </row>
    <row r="1522" spans="5:12" x14ac:dyDescent="0.25">
      <c r="E1522" s="138"/>
      <c r="F1522" s="138"/>
      <c r="I1522" s="58"/>
      <c r="J1522" s="58"/>
      <c r="K1522" s="59"/>
      <c r="L1522" s="59"/>
    </row>
    <row r="1523" spans="5:12" x14ac:dyDescent="0.25">
      <c r="E1523" s="138"/>
      <c r="F1523" s="138"/>
      <c r="I1523" s="58"/>
      <c r="J1523" s="58"/>
      <c r="K1523" s="59"/>
      <c r="L1523" s="59"/>
    </row>
    <row r="1524" spans="5:12" x14ac:dyDescent="0.25">
      <c r="E1524" s="138"/>
      <c r="F1524" s="138"/>
      <c r="I1524" s="58"/>
      <c r="J1524" s="58"/>
      <c r="K1524" s="59"/>
      <c r="L1524" s="59"/>
    </row>
    <row r="1525" spans="5:12" x14ac:dyDescent="0.25">
      <c r="E1525" s="138"/>
      <c r="F1525" s="138"/>
      <c r="I1525" s="58"/>
      <c r="J1525" s="58"/>
      <c r="K1525" s="59"/>
      <c r="L1525" s="59"/>
    </row>
    <row r="1526" spans="5:12" x14ac:dyDescent="0.25">
      <c r="E1526" s="138"/>
      <c r="F1526" s="138"/>
      <c r="I1526" s="58"/>
      <c r="J1526" s="58"/>
      <c r="K1526" s="59"/>
      <c r="L1526" s="59"/>
    </row>
    <row r="1527" spans="5:12" x14ac:dyDescent="0.25">
      <c r="E1527" s="138"/>
      <c r="F1527" s="138"/>
      <c r="I1527" s="58"/>
      <c r="J1527" s="58"/>
      <c r="K1527" s="59"/>
      <c r="L1527" s="59"/>
    </row>
    <row r="1528" spans="5:12" x14ac:dyDescent="0.25">
      <c r="E1528" s="138"/>
      <c r="F1528" s="138"/>
      <c r="I1528" s="58"/>
      <c r="J1528" s="58"/>
      <c r="K1528" s="59"/>
      <c r="L1528" s="59"/>
    </row>
    <row r="1529" spans="5:12" x14ac:dyDescent="0.25">
      <c r="E1529" s="138"/>
      <c r="F1529" s="138"/>
      <c r="I1529" s="58"/>
      <c r="J1529" s="58"/>
      <c r="K1529" s="59"/>
      <c r="L1529" s="59"/>
    </row>
    <row r="1530" spans="5:12" x14ac:dyDescent="0.25">
      <c r="E1530" s="138"/>
      <c r="F1530" s="138"/>
      <c r="I1530" s="58"/>
      <c r="J1530" s="58"/>
      <c r="K1530" s="59"/>
      <c r="L1530" s="59"/>
    </row>
    <row r="1531" spans="5:12" x14ac:dyDescent="0.25">
      <c r="E1531" s="138"/>
      <c r="F1531" s="138"/>
      <c r="I1531" s="58"/>
      <c r="J1531" s="58"/>
      <c r="K1531" s="59"/>
      <c r="L1531" s="59"/>
    </row>
    <row r="1532" spans="5:12" x14ac:dyDescent="0.25">
      <c r="E1532" s="138"/>
      <c r="F1532" s="138"/>
      <c r="I1532" s="58"/>
      <c r="J1532" s="58"/>
      <c r="K1532" s="59"/>
      <c r="L1532" s="59"/>
    </row>
    <row r="1533" spans="5:12" x14ac:dyDescent="0.25">
      <c r="E1533" s="138"/>
      <c r="F1533" s="138"/>
      <c r="I1533" s="58"/>
      <c r="J1533" s="58"/>
      <c r="K1533" s="59"/>
      <c r="L1533" s="59"/>
    </row>
    <row r="1534" spans="5:12" x14ac:dyDescent="0.25">
      <c r="E1534" s="138"/>
      <c r="F1534" s="138"/>
      <c r="I1534" s="58"/>
      <c r="J1534" s="58"/>
      <c r="K1534" s="59"/>
      <c r="L1534" s="59"/>
    </row>
    <row r="1535" spans="5:12" x14ac:dyDescent="0.25">
      <c r="E1535" s="138"/>
      <c r="F1535" s="138"/>
      <c r="I1535" s="58"/>
      <c r="J1535" s="58"/>
      <c r="K1535" s="59"/>
      <c r="L1535" s="59"/>
    </row>
    <row r="1536" spans="5:12" x14ac:dyDescent="0.25">
      <c r="E1536" s="138"/>
      <c r="F1536" s="138"/>
      <c r="I1536" s="58"/>
      <c r="J1536" s="58"/>
      <c r="K1536" s="59"/>
      <c r="L1536" s="59"/>
    </row>
    <row r="1537" spans="5:12" x14ac:dyDescent="0.25">
      <c r="E1537" s="138"/>
      <c r="F1537" s="138"/>
      <c r="I1537" s="58"/>
      <c r="J1537" s="58"/>
      <c r="K1537" s="59"/>
      <c r="L1537" s="59"/>
    </row>
    <row r="1538" spans="5:12" x14ac:dyDescent="0.25">
      <c r="E1538" s="138"/>
      <c r="F1538" s="138"/>
      <c r="I1538" s="58"/>
      <c r="J1538" s="58"/>
      <c r="K1538" s="59"/>
      <c r="L1538" s="59"/>
    </row>
    <row r="1539" spans="5:12" x14ac:dyDescent="0.25">
      <c r="E1539" s="138"/>
      <c r="F1539" s="138"/>
      <c r="I1539" s="58"/>
      <c r="J1539" s="58"/>
      <c r="K1539" s="59"/>
      <c r="L1539" s="59"/>
    </row>
    <row r="1540" spans="5:12" x14ac:dyDescent="0.25">
      <c r="E1540" s="138"/>
      <c r="F1540" s="138"/>
      <c r="I1540" s="58"/>
      <c r="J1540" s="58"/>
      <c r="K1540" s="59"/>
      <c r="L1540" s="59"/>
    </row>
    <row r="1541" spans="5:12" x14ac:dyDescent="0.25">
      <c r="E1541" s="138"/>
      <c r="F1541" s="138"/>
      <c r="I1541" s="58"/>
      <c r="J1541" s="58"/>
      <c r="K1541" s="59"/>
      <c r="L1541" s="59"/>
    </row>
    <row r="1542" spans="5:12" x14ac:dyDescent="0.25">
      <c r="E1542" s="138"/>
      <c r="F1542" s="138"/>
      <c r="I1542" s="58"/>
      <c r="J1542" s="58"/>
      <c r="K1542" s="59"/>
      <c r="L1542" s="59"/>
    </row>
    <row r="1543" spans="5:12" x14ac:dyDescent="0.25">
      <c r="E1543" s="138"/>
      <c r="F1543" s="138"/>
      <c r="I1543" s="58"/>
      <c r="J1543" s="58"/>
      <c r="K1543" s="59"/>
      <c r="L1543" s="59"/>
    </row>
    <row r="1544" spans="5:12" x14ac:dyDescent="0.25">
      <c r="E1544" s="138"/>
      <c r="F1544" s="138"/>
      <c r="I1544" s="58"/>
      <c r="J1544" s="58"/>
      <c r="K1544" s="59"/>
      <c r="L1544" s="59"/>
    </row>
    <row r="1545" spans="5:12" x14ac:dyDescent="0.25">
      <c r="E1545" s="138"/>
      <c r="F1545" s="138"/>
      <c r="I1545" s="58"/>
      <c r="J1545" s="58"/>
      <c r="K1545" s="59"/>
      <c r="L1545" s="59"/>
    </row>
    <row r="1546" spans="5:12" x14ac:dyDescent="0.25">
      <c r="E1546" s="138"/>
      <c r="F1546" s="138"/>
      <c r="I1546" s="58"/>
      <c r="J1546" s="58"/>
      <c r="K1546" s="59"/>
      <c r="L1546" s="59"/>
    </row>
    <row r="1547" spans="5:12" x14ac:dyDescent="0.25">
      <c r="E1547" s="138"/>
      <c r="F1547" s="138"/>
      <c r="I1547" s="58"/>
      <c r="J1547" s="58"/>
      <c r="K1547" s="59"/>
      <c r="L1547" s="59"/>
    </row>
    <row r="1548" spans="5:12" x14ac:dyDescent="0.25">
      <c r="E1548" s="138"/>
      <c r="F1548" s="138"/>
      <c r="I1548" s="58"/>
      <c r="J1548" s="58"/>
      <c r="K1548" s="59"/>
      <c r="L1548" s="59"/>
    </row>
    <row r="1549" spans="5:12" x14ac:dyDescent="0.25">
      <c r="E1549" s="138"/>
      <c r="F1549" s="138"/>
      <c r="I1549" s="58"/>
      <c r="J1549" s="58"/>
      <c r="K1549" s="59"/>
      <c r="L1549" s="59"/>
    </row>
    <row r="1550" spans="5:12" x14ac:dyDescent="0.25">
      <c r="E1550" s="138"/>
      <c r="F1550" s="138"/>
      <c r="I1550" s="58"/>
      <c r="J1550" s="58"/>
      <c r="K1550" s="59"/>
      <c r="L1550" s="59"/>
    </row>
    <row r="1551" spans="5:12" x14ac:dyDescent="0.25">
      <c r="E1551" s="138"/>
      <c r="F1551" s="138"/>
      <c r="I1551" s="58"/>
      <c r="J1551" s="58"/>
      <c r="K1551" s="59"/>
      <c r="L1551" s="59"/>
    </row>
    <row r="1552" spans="5:12" x14ac:dyDescent="0.25">
      <c r="E1552" s="138"/>
      <c r="F1552" s="138"/>
      <c r="I1552" s="58"/>
      <c r="J1552" s="58"/>
      <c r="K1552" s="59"/>
      <c r="L1552" s="59"/>
    </row>
    <row r="1553" spans="5:12" x14ac:dyDescent="0.25">
      <c r="E1553" s="138"/>
      <c r="F1553" s="138"/>
      <c r="I1553" s="58"/>
      <c r="J1553" s="58"/>
      <c r="K1553" s="59"/>
      <c r="L1553" s="59"/>
    </row>
    <row r="1554" spans="5:12" x14ac:dyDescent="0.25">
      <c r="E1554" s="138"/>
      <c r="F1554" s="138"/>
      <c r="I1554" s="58"/>
      <c r="J1554" s="58"/>
      <c r="K1554" s="59"/>
      <c r="L1554" s="59"/>
    </row>
    <row r="1555" spans="5:12" x14ac:dyDescent="0.25">
      <c r="E1555" s="138"/>
      <c r="F1555" s="138"/>
      <c r="I1555" s="58"/>
      <c r="J1555" s="58"/>
      <c r="K1555" s="59"/>
      <c r="L1555" s="59"/>
    </row>
    <row r="1556" spans="5:12" x14ac:dyDescent="0.25">
      <c r="E1556" s="138"/>
      <c r="F1556" s="138"/>
      <c r="I1556" s="58"/>
      <c r="J1556" s="58"/>
      <c r="K1556" s="59"/>
      <c r="L1556" s="59"/>
    </row>
    <row r="1557" spans="5:12" x14ac:dyDescent="0.25">
      <c r="E1557" s="138"/>
      <c r="F1557" s="138"/>
      <c r="I1557" s="58"/>
      <c r="J1557" s="58"/>
      <c r="K1557" s="59"/>
      <c r="L1557" s="59"/>
    </row>
    <row r="1558" spans="5:12" x14ac:dyDescent="0.25">
      <c r="E1558" s="138"/>
      <c r="F1558" s="138"/>
      <c r="I1558" s="58"/>
      <c r="J1558" s="58"/>
      <c r="K1558" s="59"/>
      <c r="L1558" s="59"/>
    </row>
    <row r="1559" spans="5:12" x14ac:dyDescent="0.25">
      <c r="E1559" s="138"/>
      <c r="F1559" s="138"/>
      <c r="I1559" s="58"/>
      <c r="J1559" s="58"/>
      <c r="K1559" s="59"/>
      <c r="L1559" s="59"/>
    </row>
    <row r="1560" spans="5:12" x14ac:dyDescent="0.25">
      <c r="E1560" s="138"/>
      <c r="F1560" s="138"/>
      <c r="I1560" s="58"/>
      <c r="J1560" s="58"/>
      <c r="K1560" s="59"/>
      <c r="L1560" s="59"/>
    </row>
    <row r="1561" spans="5:12" x14ac:dyDescent="0.25">
      <c r="E1561" s="138"/>
      <c r="F1561" s="138"/>
      <c r="I1561" s="58"/>
      <c r="J1561" s="58"/>
      <c r="K1561" s="59"/>
      <c r="L1561" s="59"/>
    </row>
    <row r="1562" spans="5:12" x14ac:dyDescent="0.25">
      <c r="E1562" s="138"/>
      <c r="F1562" s="138"/>
      <c r="I1562" s="58"/>
      <c r="J1562" s="58"/>
      <c r="K1562" s="59"/>
      <c r="L1562" s="59"/>
    </row>
    <row r="1563" spans="5:12" x14ac:dyDescent="0.25">
      <c r="E1563" s="138"/>
      <c r="F1563" s="138"/>
      <c r="I1563" s="58"/>
      <c r="J1563" s="58"/>
      <c r="K1563" s="59"/>
      <c r="L1563" s="59"/>
    </row>
    <row r="1564" spans="5:12" x14ac:dyDescent="0.25">
      <c r="E1564" s="138"/>
      <c r="F1564" s="138"/>
      <c r="I1564" s="58"/>
      <c r="J1564" s="58"/>
      <c r="K1564" s="59"/>
      <c r="L1564" s="59"/>
    </row>
    <row r="1565" spans="5:12" x14ac:dyDescent="0.25">
      <c r="E1565" s="138"/>
      <c r="F1565" s="138"/>
      <c r="I1565" s="58"/>
      <c r="J1565" s="58"/>
      <c r="K1565" s="59"/>
      <c r="L1565" s="59"/>
    </row>
    <row r="1566" spans="5:12" x14ac:dyDescent="0.25">
      <c r="E1566" s="138"/>
      <c r="F1566" s="138"/>
      <c r="I1566" s="58"/>
      <c r="J1566" s="58"/>
      <c r="K1566" s="59"/>
      <c r="L1566" s="59"/>
    </row>
    <row r="1567" spans="5:12" x14ac:dyDescent="0.25">
      <c r="E1567" s="138"/>
      <c r="F1567" s="138"/>
      <c r="I1567" s="58"/>
      <c r="J1567" s="58"/>
      <c r="K1567" s="59"/>
      <c r="L1567" s="59"/>
    </row>
    <row r="1568" spans="5:12" x14ac:dyDescent="0.25">
      <c r="E1568" s="138"/>
      <c r="F1568" s="138"/>
      <c r="I1568" s="58"/>
      <c r="J1568" s="58"/>
      <c r="K1568" s="59"/>
      <c r="L1568" s="59"/>
    </row>
    <row r="1569" spans="5:12" x14ac:dyDescent="0.25">
      <c r="E1569" s="138"/>
      <c r="F1569" s="138"/>
      <c r="I1569" s="58"/>
      <c r="J1569" s="58"/>
      <c r="K1569" s="59"/>
      <c r="L1569" s="59"/>
    </row>
    <row r="1570" spans="5:12" x14ac:dyDescent="0.25">
      <c r="E1570" s="138"/>
      <c r="F1570" s="138"/>
      <c r="I1570" s="58"/>
      <c r="J1570" s="58"/>
      <c r="K1570" s="59"/>
      <c r="L1570" s="59"/>
    </row>
    <row r="1571" spans="5:12" x14ac:dyDescent="0.25">
      <c r="E1571" s="138"/>
      <c r="F1571" s="138"/>
      <c r="I1571" s="58"/>
      <c r="J1571" s="58"/>
      <c r="K1571" s="59"/>
      <c r="L1571" s="59"/>
    </row>
    <row r="1572" spans="5:12" x14ac:dyDescent="0.25">
      <c r="E1572" s="138"/>
      <c r="F1572" s="138"/>
      <c r="I1572" s="58"/>
      <c r="J1572" s="58"/>
      <c r="K1572" s="59"/>
      <c r="L1572" s="59"/>
    </row>
    <row r="1573" spans="5:12" x14ac:dyDescent="0.25">
      <c r="E1573" s="138"/>
      <c r="F1573" s="138"/>
      <c r="I1573" s="58"/>
      <c r="J1573" s="58"/>
      <c r="K1573" s="59"/>
      <c r="L1573" s="59"/>
    </row>
    <row r="1574" spans="5:12" x14ac:dyDescent="0.25">
      <c r="E1574" s="138"/>
      <c r="F1574" s="138"/>
      <c r="I1574" s="58"/>
      <c r="J1574" s="58"/>
      <c r="K1574" s="59"/>
      <c r="L1574" s="59"/>
    </row>
    <row r="1575" spans="5:12" x14ac:dyDescent="0.25">
      <c r="E1575" s="138"/>
      <c r="F1575" s="138"/>
      <c r="I1575" s="58"/>
      <c r="J1575" s="58"/>
      <c r="K1575" s="59"/>
      <c r="L1575" s="59"/>
    </row>
    <row r="1576" spans="5:12" x14ac:dyDescent="0.25">
      <c r="E1576" s="138"/>
      <c r="F1576" s="138"/>
      <c r="I1576" s="58"/>
      <c r="J1576" s="58"/>
      <c r="K1576" s="59"/>
      <c r="L1576" s="59"/>
    </row>
    <row r="1577" spans="5:12" x14ac:dyDescent="0.25">
      <c r="E1577" s="138"/>
      <c r="F1577" s="138"/>
      <c r="I1577" s="58"/>
      <c r="J1577" s="58"/>
      <c r="K1577" s="59"/>
      <c r="L1577" s="59"/>
    </row>
    <row r="1578" spans="5:12" x14ac:dyDescent="0.25">
      <c r="E1578" s="138"/>
      <c r="F1578" s="138"/>
      <c r="I1578" s="58"/>
      <c r="J1578" s="58"/>
      <c r="K1578" s="59"/>
      <c r="L1578" s="59"/>
    </row>
    <row r="1579" spans="5:12" x14ac:dyDescent="0.25">
      <c r="E1579" s="138"/>
      <c r="F1579" s="138"/>
      <c r="I1579" s="58"/>
      <c r="J1579" s="58"/>
      <c r="K1579" s="59"/>
      <c r="L1579" s="59"/>
    </row>
    <row r="1580" spans="5:12" x14ac:dyDescent="0.25">
      <c r="E1580" s="138"/>
      <c r="F1580" s="138"/>
      <c r="I1580" s="58"/>
      <c r="J1580" s="58"/>
      <c r="K1580" s="59"/>
      <c r="L1580" s="59"/>
    </row>
    <row r="1581" spans="5:12" x14ac:dyDescent="0.25">
      <c r="E1581" s="138"/>
      <c r="F1581" s="138"/>
      <c r="I1581" s="58"/>
      <c r="J1581" s="58"/>
      <c r="K1581" s="59"/>
      <c r="L1581" s="59"/>
    </row>
    <row r="1582" spans="5:12" x14ac:dyDescent="0.25">
      <c r="E1582" s="138"/>
      <c r="F1582" s="138"/>
      <c r="I1582" s="58"/>
      <c r="J1582" s="58"/>
      <c r="K1582" s="59"/>
      <c r="L1582" s="59"/>
    </row>
    <row r="1583" spans="5:12" x14ac:dyDescent="0.25">
      <c r="E1583" s="138"/>
      <c r="F1583" s="138"/>
      <c r="I1583" s="58"/>
      <c r="J1583" s="58"/>
      <c r="K1583" s="59"/>
      <c r="L1583" s="59"/>
    </row>
    <row r="1584" spans="5:12" x14ac:dyDescent="0.25">
      <c r="E1584" s="138"/>
      <c r="F1584" s="138"/>
      <c r="I1584" s="58"/>
      <c r="J1584" s="58"/>
      <c r="K1584" s="59"/>
      <c r="L1584" s="59"/>
    </row>
    <row r="1585" spans="5:12" x14ac:dyDescent="0.25">
      <c r="E1585" s="138"/>
      <c r="F1585" s="138"/>
      <c r="I1585" s="58"/>
      <c r="J1585" s="58"/>
      <c r="K1585" s="59"/>
      <c r="L1585" s="59"/>
    </row>
    <row r="1586" spans="5:12" x14ac:dyDescent="0.25">
      <c r="E1586" s="138"/>
      <c r="F1586" s="138"/>
      <c r="I1586" s="58"/>
      <c r="J1586" s="58"/>
      <c r="K1586" s="59"/>
      <c r="L1586" s="59"/>
    </row>
    <row r="1587" spans="5:12" x14ac:dyDescent="0.25">
      <c r="E1587" s="138"/>
      <c r="F1587" s="138"/>
      <c r="I1587" s="58"/>
      <c r="J1587" s="58"/>
      <c r="K1587" s="59"/>
      <c r="L1587" s="59"/>
    </row>
    <row r="1588" spans="5:12" x14ac:dyDescent="0.25">
      <c r="E1588" s="138"/>
      <c r="F1588" s="138"/>
      <c r="I1588" s="58"/>
      <c r="J1588" s="58"/>
      <c r="K1588" s="59"/>
      <c r="L1588" s="59"/>
    </row>
    <row r="1589" spans="5:12" x14ac:dyDescent="0.25">
      <c r="E1589" s="138"/>
      <c r="F1589" s="138"/>
      <c r="I1589" s="58"/>
      <c r="J1589" s="58"/>
      <c r="K1589" s="59"/>
      <c r="L1589" s="59"/>
    </row>
    <row r="1590" spans="5:12" x14ac:dyDescent="0.25">
      <c r="E1590" s="138"/>
      <c r="F1590" s="138"/>
      <c r="I1590" s="58"/>
      <c r="J1590" s="58"/>
      <c r="K1590" s="59"/>
      <c r="L1590" s="59"/>
    </row>
    <row r="1591" spans="5:12" x14ac:dyDescent="0.25">
      <c r="E1591" s="138"/>
      <c r="F1591" s="138"/>
      <c r="I1591" s="58"/>
      <c r="J1591" s="58"/>
      <c r="K1591" s="59"/>
      <c r="L1591" s="59"/>
    </row>
    <row r="1592" spans="5:12" x14ac:dyDescent="0.25">
      <c r="E1592" s="138"/>
      <c r="F1592" s="138"/>
      <c r="I1592" s="58"/>
      <c r="J1592" s="58"/>
      <c r="K1592" s="59"/>
      <c r="L1592" s="59"/>
    </row>
    <row r="1593" spans="5:12" x14ac:dyDescent="0.25">
      <c r="E1593" s="138"/>
      <c r="F1593" s="138"/>
      <c r="I1593" s="58"/>
      <c r="J1593" s="58"/>
      <c r="K1593" s="59"/>
      <c r="L1593" s="59"/>
    </row>
    <row r="1594" spans="5:12" x14ac:dyDescent="0.25">
      <c r="E1594" s="138"/>
      <c r="F1594" s="138"/>
      <c r="I1594" s="58"/>
      <c r="J1594" s="58"/>
      <c r="K1594" s="59"/>
      <c r="L1594" s="59"/>
    </row>
    <row r="1595" spans="5:12" x14ac:dyDescent="0.25">
      <c r="E1595" s="138"/>
      <c r="F1595" s="138"/>
      <c r="I1595" s="58"/>
      <c r="J1595" s="58"/>
      <c r="K1595" s="59"/>
      <c r="L1595" s="59"/>
    </row>
    <row r="1596" spans="5:12" x14ac:dyDescent="0.25">
      <c r="E1596" s="138"/>
      <c r="F1596" s="138"/>
      <c r="I1596" s="58"/>
      <c r="J1596" s="58"/>
      <c r="K1596" s="59"/>
      <c r="L1596" s="59"/>
    </row>
    <row r="1597" spans="5:12" x14ac:dyDescent="0.25">
      <c r="E1597" s="138"/>
      <c r="F1597" s="138"/>
      <c r="I1597" s="58"/>
      <c r="J1597" s="58"/>
      <c r="K1597" s="59"/>
      <c r="L1597" s="59"/>
    </row>
    <row r="1598" spans="5:12" x14ac:dyDescent="0.25">
      <c r="E1598" s="138"/>
      <c r="F1598" s="138"/>
      <c r="I1598" s="58"/>
      <c r="J1598" s="58"/>
      <c r="K1598" s="59"/>
      <c r="L1598" s="59"/>
    </row>
    <row r="1599" spans="5:12" x14ac:dyDescent="0.25">
      <c r="E1599" s="138"/>
      <c r="F1599" s="138"/>
      <c r="I1599" s="58"/>
      <c r="J1599" s="58"/>
      <c r="K1599" s="59"/>
      <c r="L1599" s="59"/>
    </row>
    <row r="1600" spans="5:12" x14ac:dyDescent="0.25">
      <c r="E1600" s="138"/>
      <c r="F1600" s="138"/>
      <c r="I1600" s="58"/>
      <c r="J1600" s="58"/>
      <c r="K1600" s="59"/>
      <c r="L1600" s="59"/>
    </row>
    <row r="1601" spans="5:12" x14ac:dyDescent="0.25">
      <c r="E1601" s="138"/>
      <c r="F1601" s="138"/>
      <c r="I1601" s="58"/>
      <c r="J1601" s="58"/>
      <c r="K1601" s="59"/>
      <c r="L1601" s="59"/>
    </row>
    <row r="1602" spans="5:12" x14ac:dyDescent="0.25">
      <c r="E1602" s="138"/>
      <c r="F1602" s="138"/>
      <c r="I1602" s="58"/>
      <c r="J1602" s="58"/>
      <c r="K1602" s="59"/>
      <c r="L1602" s="59"/>
    </row>
    <row r="1603" spans="5:12" x14ac:dyDescent="0.25">
      <c r="E1603" s="138"/>
      <c r="F1603" s="138"/>
      <c r="I1603" s="58"/>
      <c r="J1603" s="58"/>
      <c r="K1603" s="59"/>
      <c r="L1603" s="59"/>
    </row>
    <row r="1604" spans="5:12" x14ac:dyDescent="0.25">
      <c r="E1604" s="138"/>
      <c r="F1604" s="138"/>
      <c r="I1604" s="58"/>
      <c r="J1604" s="58"/>
      <c r="K1604" s="59"/>
      <c r="L1604" s="59"/>
    </row>
    <row r="1605" spans="5:12" x14ac:dyDescent="0.25">
      <c r="E1605" s="138"/>
      <c r="F1605" s="138"/>
      <c r="I1605" s="58"/>
      <c r="J1605" s="58"/>
      <c r="K1605" s="59"/>
      <c r="L1605" s="59"/>
    </row>
    <row r="1606" spans="5:12" x14ac:dyDescent="0.25">
      <c r="E1606" s="138"/>
      <c r="F1606" s="138"/>
      <c r="I1606" s="58"/>
      <c r="J1606" s="58"/>
      <c r="K1606" s="59"/>
      <c r="L1606" s="59"/>
    </row>
    <row r="1607" spans="5:12" x14ac:dyDescent="0.25">
      <c r="E1607" s="138"/>
      <c r="F1607" s="138"/>
      <c r="I1607" s="58"/>
      <c r="J1607" s="58"/>
      <c r="K1607" s="59"/>
      <c r="L1607" s="59"/>
    </row>
    <row r="1608" spans="5:12" x14ac:dyDescent="0.25">
      <c r="E1608" s="138"/>
      <c r="F1608" s="138"/>
      <c r="I1608" s="58"/>
      <c r="J1608" s="58"/>
      <c r="K1608" s="59"/>
      <c r="L1608" s="59"/>
    </row>
    <row r="1609" spans="5:12" x14ac:dyDescent="0.25">
      <c r="E1609" s="138"/>
      <c r="F1609" s="138"/>
      <c r="I1609" s="58"/>
      <c r="J1609" s="58"/>
      <c r="K1609" s="59"/>
      <c r="L1609" s="59"/>
    </row>
    <row r="1610" spans="5:12" x14ac:dyDescent="0.25">
      <c r="E1610" s="138"/>
      <c r="F1610" s="138"/>
      <c r="I1610" s="58"/>
      <c r="J1610" s="58"/>
      <c r="K1610" s="59"/>
      <c r="L1610" s="59"/>
    </row>
    <row r="1611" spans="5:12" x14ac:dyDescent="0.25">
      <c r="E1611" s="138"/>
      <c r="F1611" s="138"/>
      <c r="I1611" s="58"/>
      <c r="J1611" s="58"/>
      <c r="K1611" s="59"/>
      <c r="L1611" s="59"/>
    </row>
    <row r="1612" spans="5:12" x14ac:dyDescent="0.25">
      <c r="E1612" s="138"/>
      <c r="F1612" s="138"/>
      <c r="I1612" s="58"/>
      <c r="J1612" s="58"/>
      <c r="K1612" s="59"/>
      <c r="L1612" s="59"/>
    </row>
    <row r="1613" spans="5:12" x14ac:dyDescent="0.25">
      <c r="E1613" s="138"/>
      <c r="F1613" s="138"/>
      <c r="I1613" s="58"/>
      <c r="J1613" s="58"/>
      <c r="K1613" s="59"/>
      <c r="L1613" s="59"/>
    </row>
    <row r="1614" spans="5:12" x14ac:dyDescent="0.25">
      <c r="E1614" s="138"/>
      <c r="F1614" s="138"/>
      <c r="I1614" s="58"/>
      <c r="J1614" s="58"/>
      <c r="K1614" s="59"/>
      <c r="L1614" s="59"/>
    </row>
    <row r="1615" spans="5:12" x14ac:dyDescent="0.25">
      <c r="E1615" s="138"/>
      <c r="F1615" s="138"/>
      <c r="I1615" s="58"/>
      <c r="J1615" s="58"/>
      <c r="K1615" s="59"/>
      <c r="L1615" s="59"/>
    </row>
    <row r="1616" spans="5:12" x14ac:dyDescent="0.25">
      <c r="E1616" s="138"/>
      <c r="F1616" s="138"/>
      <c r="I1616" s="58"/>
      <c r="J1616" s="58"/>
      <c r="K1616" s="59"/>
      <c r="L1616" s="59"/>
    </row>
    <row r="1617" spans="5:12" x14ac:dyDescent="0.25">
      <c r="E1617" s="138"/>
      <c r="F1617" s="138"/>
      <c r="I1617" s="58"/>
      <c r="J1617" s="58"/>
      <c r="K1617" s="59"/>
      <c r="L1617" s="59"/>
    </row>
    <row r="1618" spans="5:12" x14ac:dyDescent="0.25">
      <c r="E1618" s="138"/>
      <c r="F1618" s="138"/>
      <c r="I1618" s="58"/>
      <c r="J1618" s="58"/>
      <c r="K1618" s="59"/>
      <c r="L1618" s="59"/>
    </row>
    <row r="1619" spans="5:12" x14ac:dyDescent="0.25">
      <c r="E1619" s="138"/>
      <c r="F1619" s="138"/>
      <c r="I1619" s="58"/>
      <c r="J1619" s="58"/>
      <c r="K1619" s="59"/>
      <c r="L1619" s="59"/>
    </row>
    <row r="1620" spans="5:12" x14ac:dyDescent="0.25">
      <c r="E1620" s="138"/>
      <c r="F1620" s="138"/>
      <c r="I1620" s="58"/>
      <c r="J1620" s="58"/>
      <c r="K1620" s="59"/>
      <c r="L1620" s="59"/>
    </row>
    <row r="1621" spans="5:12" x14ac:dyDescent="0.25">
      <c r="E1621" s="138"/>
      <c r="F1621" s="138"/>
      <c r="I1621" s="58"/>
      <c r="J1621" s="58"/>
      <c r="K1621" s="59"/>
      <c r="L1621" s="59"/>
    </row>
    <row r="1622" spans="5:12" x14ac:dyDescent="0.25">
      <c r="E1622" s="138"/>
      <c r="F1622" s="138"/>
      <c r="I1622" s="58"/>
      <c r="J1622" s="58"/>
      <c r="K1622" s="59"/>
      <c r="L1622" s="59"/>
    </row>
    <row r="1623" spans="5:12" x14ac:dyDescent="0.25">
      <c r="E1623" s="138"/>
      <c r="F1623" s="138"/>
      <c r="I1623" s="58"/>
      <c r="J1623" s="58"/>
      <c r="K1623" s="59"/>
      <c r="L1623" s="59"/>
    </row>
    <row r="1624" spans="5:12" x14ac:dyDescent="0.25">
      <c r="E1624" s="138"/>
      <c r="F1624" s="138"/>
      <c r="I1624" s="58"/>
      <c r="J1624" s="58"/>
      <c r="K1624" s="59"/>
      <c r="L1624" s="59"/>
    </row>
    <row r="1625" spans="5:12" x14ac:dyDescent="0.25">
      <c r="E1625" s="138"/>
      <c r="F1625" s="138"/>
      <c r="I1625" s="58"/>
      <c r="J1625" s="58"/>
      <c r="K1625" s="59"/>
      <c r="L1625" s="59"/>
    </row>
    <row r="1626" spans="5:12" x14ac:dyDescent="0.25">
      <c r="E1626" s="138"/>
      <c r="F1626" s="138"/>
      <c r="I1626" s="58"/>
      <c r="J1626" s="58"/>
      <c r="K1626" s="59"/>
      <c r="L1626" s="59"/>
    </row>
    <row r="1627" spans="5:12" x14ac:dyDescent="0.25">
      <c r="E1627" s="138"/>
      <c r="F1627" s="138"/>
      <c r="I1627" s="58"/>
      <c r="J1627" s="58"/>
      <c r="K1627" s="59"/>
      <c r="L1627" s="59"/>
    </row>
    <row r="1628" spans="5:12" x14ac:dyDescent="0.25">
      <c r="E1628" s="138"/>
      <c r="F1628" s="138"/>
      <c r="I1628" s="58"/>
      <c r="J1628" s="58"/>
      <c r="K1628" s="59"/>
      <c r="L1628" s="59"/>
    </row>
    <row r="1629" spans="5:12" x14ac:dyDescent="0.25">
      <c r="E1629" s="138"/>
      <c r="F1629" s="138"/>
      <c r="I1629" s="58"/>
      <c r="J1629" s="58"/>
      <c r="K1629" s="59"/>
      <c r="L1629" s="59"/>
    </row>
    <row r="1630" spans="5:12" x14ac:dyDescent="0.25">
      <c r="E1630" s="138"/>
      <c r="F1630" s="138"/>
      <c r="I1630" s="58"/>
      <c r="J1630" s="58"/>
      <c r="K1630" s="59"/>
      <c r="L1630" s="59"/>
    </row>
    <row r="1631" spans="5:12" x14ac:dyDescent="0.25">
      <c r="E1631" s="138"/>
      <c r="F1631" s="138"/>
      <c r="I1631" s="58"/>
      <c r="J1631" s="58"/>
      <c r="K1631" s="59"/>
      <c r="L1631" s="59"/>
    </row>
    <row r="1632" spans="5:12" x14ac:dyDescent="0.25">
      <c r="E1632" s="138"/>
      <c r="F1632" s="138"/>
      <c r="I1632" s="58"/>
      <c r="J1632" s="58"/>
      <c r="K1632" s="59"/>
      <c r="L1632" s="59"/>
    </row>
    <row r="1633" spans="5:12" x14ac:dyDescent="0.25">
      <c r="E1633" s="138"/>
      <c r="F1633" s="138"/>
      <c r="I1633" s="58"/>
      <c r="J1633" s="58"/>
      <c r="K1633" s="59"/>
      <c r="L1633" s="59"/>
    </row>
    <row r="1634" spans="5:12" x14ac:dyDescent="0.25">
      <c r="E1634" s="138"/>
      <c r="F1634" s="138"/>
      <c r="I1634" s="58"/>
      <c r="J1634" s="58"/>
      <c r="K1634" s="59"/>
      <c r="L1634" s="59"/>
    </row>
    <row r="1635" spans="5:12" x14ac:dyDescent="0.25">
      <c r="E1635" s="138"/>
      <c r="F1635" s="138"/>
      <c r="I1635" s="58"/>
      <c r="J1635" s="58"/>
      <c r="K1635" s="59"/>
      <c r="L1635" s="59"/>
    </row>
    <row r="1636" spans="5:12" x14ac:dyDescent="0.25">
      <c r="E1636" s="138"/>
      <c r="F1636" s="138"/>
      <c r="I1636" s="58"/>
      <c r="J1636" s="58"/>
      <c r="K1636" s="59"/>
      <c r="L1636" s="59"/>
    </row>
    <row r="1637" spans="5:12" x14ac:dyDescent="0.25">
      <c r="E1637" s="138"/>
      <c r="F1637" s="138"/>
      <c r="I1637" s="58"/>
      <c r="J1637" s="58"/>
      <c r="K1637" s="59"/>
      <c r="L1637" s="59"/>
    </row>
    <row r="1638" spans="5:12" x14ac:dyDescent="0.25">
      <c r="E1638" s="138"/>
      <c r="F1638" s="138"/>
      <c r="I1638" s="58"/>
      <c r="J1638" s="58"/>
      <c r="K1638" s="59"/>
      <c r="L1638" s="59"/>
    </row>
    <row r="1639" spans="5:12" x14ac:dyDescent="0.25">
      <c r="E1639" s="138"/>
      <c r="F1639" s="138"/>
      <c r="I1639" s="58"/>
      <c r="J1639" s="58"/>
      <c r="K1639" s="59"/>
      <c r="L1639" s="59"/>
    </row>
    <row r="1640" spans="5:12" x14ac:dyDescent="0.25">
      <c r="E1640" s="138"/>
      <c r="F1640" s="138"/>
      <c r="I1640" s="58"/>
      <c r="J1640" s="58"/>
      <c r="K1640" s="59"/>
      <c r="L1640" s="59"/>
    </row>
    <row r="1641" spans="5:12" x14ac:dyDescent="0.25">
      <c r="E1641" s="138"/>
      <c r="F1641" s="138"/>
      <c r="I1641" s="58"/>
      <c r="J1641" s="58"/>
      <c r="K1641" s="59"/>
      <c r="L1641" s="59"/>
    </row>
    <row r="1642" spans="5:12" x14ac:dyDescent="0.25">
      <c r="E1642" s="138"/>
      <c r="F1642" s="138"/>
      <c r="I1642" s="58"/>
      <c r="J1642" s="58"/>
      <c r="K1642" s="59"/>
      <c r="L1642" s="59"/>
    </row>
    <row r="1643" spans="5:12" x14ac:dyDescent="0.25">
      <c r="E1643" s="138"/>
      <c r="F1643" s="138"/>
      <c r="I1643" s="58"/>
      <c r="J1643" s="58"/>
      <c r="K1643" s="59"/>
      <c r="L1643" s="59"/>
    </row>
    <row r="1644" spans="5:12" x14ac:dyDescent="0.25">
      <c r="E1644" s="138"/>
      <c r="F1644" s="138"/>
      <c r="I1644" s="58"/>
      <c r="J1644" s="58"/>
      <c r="K1644" s="59"/>
      <c r="L1644" s="59"/>
    </row>
    <row r="1645" spans="5:12" x14ac:dyDescent="0.25">
      <c r="E1645" s="138"/>
      <c r="F1645" s="138"/>
      <c r="I1645" s="58"/>
      <c r="J1645" s="58"/>
      <c r="K1645" s="59"/>
      <c r="L1645" s="59"/>
    </row>
    <row r="1646" spans="5:12" x14ac:dyDescent="0.25">
      <c r="E1646" s="138"/>
      <c r="F1646" s="138"/>
      <c r="I1646" s="58"/>
      <c r="J1646" s="58"/>
      <c r="K1646" s="59"/>
      <c r="L1646" s="59"/>
    </row>
    <row r="1647" spans="5:12" x14ac:dyDescent="0.25">
      <c r="E1647" s="138"/>
      <c r="F1647" s="138"/>
      <c r="I1647" s="58"/>
      <c r="J1647" s="58"/>
      <c r="K1647" s="59"/>
      <c r="L1647" s="59"/>
    </row>
    <row r="1648" spans="5:12" x14ac:dyDescent="0.25">
      <c r="E1648" s="138"/>
      <c r="F1648" s="138"/>
      <c r="I1648" s="58"/>
      <c r="J1648" s="58"/>
      <c r="K1648" s="59"/>
      <c r="L1648" s="59"/>
    </row>
    <row r="1649" spans="5:12" x14ac:dyDescent="0.25">
      <c r="E1649" s="138"/>
      <c r="F1649" s="138"/>
      <c r="I1649" s="58"/>
      <c r="J1649" s="58"/>
      <c r="K1649" s="59"/>
      <c r="L1649" s="59"/>
    </row>
    <row r="1650" spans="5:12" x14ac:dyDescent="0.25">
      <c r="E1650" s="138"/>
      <c r="F1650" s="138"/>
      <c r="I1650" s="58"/>
      <c r="J1650" s="58"/>
      <c r="K1650" s="59"/>
      <c r="L1650" s="59"/>
    </row>
    <row r="1651" spans="5:12" x14ac:dyDescent="0.25">
      <c r="E1651" s="138"/>
      <c r="F1651" s="138"/>
      <c r="I1651" s="58"/>
      <c r="J1651" s="58"/>
      <c r="K1651" s="59"/>
      <c r="L1651" s="59"/>
    </row>
    <row r="1652" spans="5:12" x14ac:dyDescent="0.25">
      <c r="E1652" s="138"/>
      <c r="F1652" s="138"/>
      <c r="I1652" s="58"/>
      <c r="J1652" s="58"/>
      <c r="K1652" s="59"/>
      <c r="L1652" s="59"/>
    </row>
    <row r="1653" spans="5:12" x14ac:dyDescent="0.25">
      <c r="E1653" s="138"/>
      <c r="F1653" s="138"/>
      <c r="I1653" s="58"/>
      <c r="J1653" s="58"/>
      <c r="K1653" s="59"/>
      <c r="L1653" s="59"/>
    </row>
    <row r="1654" spans="5:12" x14ac:dyDescent="0.25">
      <c r="E1654" s="138"/>
      <c r="F1654" s="138"/>
      <c r="I1654" s="58"/>
      <c r="J1654" s="58"/>
      <c r="K1654" s="59"/>
      <c r="L1654" s="59"/>
    </row>
    <row r="1655" spans="5:12" x14ac:dyDescent="0.25">
      <c r="E1655" s="138"/>
      <c r="F1655" s="138"/>
      <c r="I1655" s="58"/>
      <c r="J1655" s="58"/>
      <c r="K1655" s="59"/>
      <c r="L1655" s="59"/>
    </row>
    <row r="1656" spans="5:12" x14ac:dyDescent="0.25">
      <c r="E1656" s="138"/>
      <c r="F1656" s="138"/>
      <c r="I1656" s="58"/>
      <c r="J1656" s="58"/>
      <c r="K1656" s="59"/>
      <c r="L1656" s="59"/>
    </row>
    <row r="1657" spans="5:12" x14ac:dyDescent="0.25">
      <c r="E1657" s="138"/>
      <c r="F1657" s="138"/>
      <c r="I1657" s="58"/>
      <c r="J1657" s="58"/>
      <c r="K1657" s="59"/>
      <c r="L1657" s="59"/>
    </row>
    <row r="1658" spans="5:12" x14ac:dyDescent="0.25">
      <c r="E1658" s="138"/>
      <c r="F1658" s="138"/>
      <c r="I1658" s="58"/>
      <c r="J1658" s="58"/>
      <c r="K1658" s="59"/>
      <c r="L1658" s="59"/>
    </row>
    <row r="1659" spans="5:12" x14ac:dyDescent="0.25">
      <c r="E1659" s="138"/>
      <c r="F1659" s="138"/>
      <c r="I1659" s="58"/>
      <c r="J1659" s="58"/>
      <c r="K1659" s="59"/>
      <c r="L1659" s="59"/>
    </row>
    <row r="1660" spans="5:12" x14ac:dyDescent="0.25">
      <c r="E1660" s="138"/>
      <c r="F1660" s="138"/>
      <c r="I1660" s="58"/>
      <c r="J1660" s="58"/>
      <c r="K1660" s="59"/>
      <c r="L1660" s="59"/>
    </row>
    <row r="1661" spans="5:12" x14ac:dyDescent="0.25">
      <c r="E1661" s="138"/>
      <c r="F1661" s="138"/>
      <c r="I1661" s="58"/>
      <c r="J1661" s="58"/>
      <c r="K1661" s="59"/>
      <c r="L1661" s="59"/>
    </row>
    <row r="1662" spans="5:12" x14ac:dyDescent="0.25">
      <c r="E1662" s="138"/>
      <c r="F1662" s="138"/>
      <c r="I1662" s="58"/>
      <c r="J1662" s="58"/>
      <c r="K1662" s="59"/>
      <c r="L1662" s="59"/>
    </row>
    <row r="1663" spans="5:12" x14ac:dyDescent="0.25">
      <c r="E1663" s="138"/>
      <c r="F1663" s="138"/>
      <c r="I1663" s="58"/>
      <c r="J1663" s="58"/>
      <c r="K1663" s="59"/>
      <c r="L1663" s="59"/>
    </row>
    <row r="1664" spans="5:12" x14ac:dyDescent="0.25">
      <c r="E1664" s="138"/>
      <c r="F1664" s="138"/>
      <c r="I1664" s="58"/>
      <c r="J1664" s="58"/>
      <c r="K1664" s="59"/>
      <c r="L1664" s="59"/>
    </row>
    <row r="1665" spans="5:12" x14ac:dyDescent="0.25">
      <c r="E1665" s="138"/>
      <c r="F1665" s="138"/>
      <c r="I1665" s="58"/>
      <c r="J1665" s="58"/>
      <c r="K1665" s="59"/>
      <c r="L1665" s="59"/>
    </row>
    <row r="1666" spans="5:12" x14ac:dyDescent="0.25">
      <c r="E1666" s="138"/>
      <c r="F1666" s="138"/>
      <c r="I1666" s="58"/>
      <c r="J1666" s="58"/>
      <c r="K1666" s="59"/>
      <c r="L1666" s="59"/>
    </row>
    <row r="1667" spans="5:12" x14ac:dyDescent="0.25">
      <c r="E1667" s="138"/>
      <c r="F1667" s="138"/>
      <c r="I1667" s="58"/>
      <c r="J1667" s="58"/>
      <c r="K1667" s="59"/>
      <c r="L1667" s="59"/>
    </row>
    <row r="1668" spans="5:12" x14ac:dyDescent="0.25">
      <c r="E1668" s="138"/>
      <c r="F1668" s="138"/>
      <c r="I1668" s="58"/>
      <c r="J1668" s="58"/>
      <c r="K1668" s="59"/>
      <c r="L1668" s="59"/>
    </row>
    <row r="1669" spans="5:12" x14ac:dyDescent="0.25">
      <c r="E1669" s="138"/>
      <c r="F1669" s="138"/>
      <c r="I1669" s="58"/>
      <c r="J1669" s="58"/>
      <c r="K1669" s="59"/>
      <c r="L1669" s="59"/>
    </row>
    <row r="1670" spans="5:12" x14ac:dyDescent="0.25">
      <c r="E1670" s="138"/>
      <c r="F1670" s="138"/>
      <c r="I1670" s="58"/>
      <c r="J1670" s="58"/>
      <c r="K1670" s="59"/>
      <c r="L1670" s="59"/>
    </row>
    <row r="1671" spans="5:12" x14ac:dyDescent="0.25">
      <c r="E1671" s="138"/>
      <c r="F1671" s="138"/>
      <c r="I1671" s="58"/>
      <c r="J1671" s="58"/>
      <c r="K1671" s="59"/>
      <c r="L1671" s="59"/>
    </row>
    <row r="1672" spans="5:12" x14ac:dyDescent="0.25">
      <c r="E1672" s="138"/>
      <c r="F1672" s="138"/>
      <c r="I1672" s="58"/>
      <c r="J1672" s="58"/>
      <c r="K1672" s="59"/>
      <c r="L1672" s="59"/>
    </row>
    <row r="1673" spans="5:12" x14ac:dyDescent="0.25">
      <c r="E1673" s="138"/>
      <c r="F1673" s="138"/>
      <c r="I1673" s="58"/>
      <c r="J1673" s="58"/>
      <c r="K1673" s="59"/>
      <c r="L1673" s="59"/>
    </row>
    <row r="1674" spans="5:12" x14ac:dyDescent="0.25">
      <c r="E1674" s="138"/>
      <c r="F1674" s="138"/>
      <c r="I1674" s="58"/>
      <c r="J1674" s="58"/>
      <c r="K1674" s="59"/>
      <c r="L1674" s="59"/>
    </row>
    <row r="1675" spans="5:12" x14ac:dyDescent="0.25">
      <c r="E1675" s="138"/>
      <c r="F1675" s="138"/>
      <c r="I1675" s="58"/>
      <c r="J1675" s="58"/>
      <c r="K1675" s="59"/>
      <c r="L1675" s="59"/>
    </row>
    <row r="1676" spans="5:12" x14ac:dyDescent="0.25">
      <c r="E1676" s="138"/>
      <c r="F1676" s="138"/>
      <c r="I1676" s="58"/>
      <c r="J1676" s="58"/>
      <c r="K1676" s="59"/>
      <c r="L1676" s="59"/>
    </row>
    <row r="1677" spans="5:12" x14ac:dyDescent="0.25">
      <c r="E1677" s="138"/>
      <c r="F1677" s="138"/>
      <c r="I1677" s="58"/>
      <c r="J1677" s="58"/>
      <c r="K1677" s="59"/>
      <c r="L1677" s="59"/>
    </row>
    <row r="1678" spans="5:12" x14ac:dyDescent="0.25">
      <c r="E1678" s="138"/>
      <c r="F1678" s="138"/>
      <c r="I1678" s="58"/>
      <c r="J1678" s="58"/>
      <c r="K1678" s="59"/>
      <c r="L1678" s="59"/>
    </row>
    <row r="1679" spans="5:12" x14ac:dyDescent="0.25">
      <c r="E1679" s="138"/>
      <c r="F1679" s="138"/>
      <c r="I1679" s="58"/>
      <c r="J1679" s="58"/>
      <c r="K1679" s="59"/>
      <c r="L1679" s="59"/>
    </row>
    <row r="1680" spans="5:12" x14ac:dyDescent="0.25">
      <c r="E1680" s="138"/>
      <c r="F1680" s="138"/>
      <c r="I1680" s="58"/>
      <c r="J1680" s="58"/>
      <c r="K1680" s="59"/>
      <c r="L1680" s="59"/>
    </row>
    <row r="1681" spans="5:12" x14ac:dyDescent="0.25">
      <c r="E1681" s="138"/>
      <c r="F1681" s="138"/>
      <c r="I1681" s="58"/>
      <c r="J1681" s="58"/>
      <c r="K1681" s="59"/>
      <c r="L1681" s="59"/>
    </row>
    <row r="1682" spans="5:12" x14ac:dyDescent="0.25">
      <c r="E1682" s="138"/>
      <c r="F1682" s="138"/>
      <c r="I1682" s="58"/>
      <c r="J1682" s="58"/>
      <c r="K1682" s="59"/>
      <c r="L1682" s="59"/>
    </row>
    <row r="1683" spans="5:12" x14ac:dyDescent="0.25">
      <c r="E1683" s="138"/>
      <c r="F1683" s="138"/>
      <c r="I1683" s="58"/>
      <c r="J1683" s="58"/>
      <c r="K1683" s="59"/>
      <c r="L1683" s="59"/>
    </row>
    <row r="1684" spans="5:12" x14ac:dyDescent="0.25">
      <c r="E1684" s="138"/>
      <c r="F1684" s="138"/>
      <c r="I1684" s="58"/>
      <c r="J1684" s="58"/>
      <c r="K1684" s="59"/>
      <c r="L1684" s="59"/>
    </row>
    <row r="1685" spans="5:12" x14ac:dyDescent="0.25">
      <c r="E1685" s="138"/>
      <c r="F1685" s="138"/>
      <c r="I1685" s="58"/>
      <c r="J1685" s="58"/>
      <c r="K1685" s="59"/>
      <c r="L1685" s="59"/>
    </row>
    <row r="1686" spans="5:12" x14ac:dyDescent="0.25">
      <c r="E1686" s="138"/>
      <c r="F1686" s="138"/>
      <c r="I1686" s="58"/>
      <c r="J1686" s="58"/>
      <c r="K1686" s="59"/>
      <c r="L1686" s="59"/>
    </row>
    <row r="1687" spans="5:12" x14ac:dyDescent="0.25">
      <c r="E1687" s="138"/>
      <c r="F1687" s="138"/>
      <c r="I1687" s="58"/>
      <c r="J1687" s="58"/>
      <c r="K1687" s="59"/>
      <c r="L1687" s="59"/>
    </row>
    <row r="1688" spans="5:12" x14ac:dyDescent="0.25">
      <c r="E1688" s="138"/>
      <c r="F1688" s="138"/>
      <c r="I1688" s="58"/>
      <c r="J1688" s="58"/>
      <c r="K1688" s="59"/>
      <c r="L1688" s="59"/>
    </row>
    <row r="1689" spans="5:12" x14ac:dyDescent="0.25">
      <c r="E1689" s="138"/>
      <c r="F1689" s="138"/>
      <c r="I1689" s="58"/>
      <c r="J1689" s="58"/>
      <c r="K1689" s="59"/>
      <c r="L1689" s="59"/>
    </row>
    <row r="1690" spans="5:12" x14ac:dyDescent="0.25">
      <c r="E1690" s="138"/>
      <c r="F1690" s="138"/>
      <c r="I1690" s="58"/>
      <c r="J1690" s="58"/>
      <c r="K1690" s="59"/>
      <c r="L1690" s="59"/>
    </row>
    <row r="1691" spans="5:12" x14ac:dyDescent="0.25">
      <c r="E1691" s="138"/>
      <c r="F1691" s="138"/>
      <c r="I1691" s="58"/>
      <c r="J1691" s="58"/>
      <c r="K1691" s="59"/>
      <c r="L1691" s="59"/>
    </row>
    <row r="1692" spans="5:12" x14ac:dyDescent="0.25">
      <c r="E1692" s="138"/>
      <c r="F1692" s="138"/>
      <c r="I1692" s="58"/>
      <c r="J1692" s="58"/>
      <c r="K1692" s="59"/>
      <c r="L1692" s="59"/>
    </row>
    <row r="1693" spans="5:12" x14ac:dyDescent="0.25">
      <c r="E1693" s="138"/>
      <c r="F1693" s="138"/>
      <c r="I1693" s="58"/>
      <c r="J1693" s="58"/>
      <c r="K1693" s="59"/>
      <c r="L1693" s="59"/>
    </row>
    <row r="1694" spans="5:12" x14ac:dyDescent="0.25">
      <c r="E1694" s="138"/>
      <c r="F1694" s="138"/>
      <c r="I1694" s="58"/>
      <c r="J1694" s="58"/>
      <c r="K1694" s="59"/>
      <c r="L1694" s="59"/>
    </row>
    <row r="1695" spans="5:12" x14ac:dyDescent="0.25">
      <c r="E1695" s="138"/>
      <c r="F1695" s="138"/>
      <c r="I1695" s="58"/>
      <c r="J1695" s="58"/>
      <c r="K1695" s="59"/>
      <c r="L1695" s="59"/>
    </row>
    <row r="1696" spans="5:12" x14ac:dyDescent="0.25">
      <c r="E1696" s="138"/>
      <c r="F1696" s="138"/>
      <c r="I1696" s="58"/>
      <c r="J1696" s="58"/>
      <c r="K1696" s="59"/>
      <c r="L1696" s="59"/>
    </row>
    <row r="1697" spans="5:12" x14ac:dyDescent="0.25">
      <c r="E1697" s="138"/>
      <c r="F1697" s="138"/>
      <c r="I1697" s="58"/>
      <c r="J1697" s="58"/>
      <c r="K1697" s="59"/>
      <c r="L1697" s="59"/>
    </row>
    <row r="1698" spans="5:12" x14ac:dyDescent="0.25">
      <c r="E1698" s="138"/>
      <c r="F1698" s="138"/>
      <c r="I1698" s="58"/>
      <c r="J1698" s="58"/>
      <c r="K1698" s="59"/>
      <c r="L1698" s="59"/>
    </row>
    <row r="1699" spans="5:12" x14ac:dyDescent="0.25">
      <c r="E1699" s="138"/>
      <c r="F1699" s="138"/>
      <c r="I1699" s="58"/>
      <c r="J1699" s="58"/>
      <c r="K1699" s="59"/>
      <c r="L1699" s="59"/>
    </row>
    <row r="1700" spans="5:12" x14ac:dyDescent="0.25">
      <c r="E1700" s="138"/>
      <c r="F1700" s="138"/>
      <c r="I1700" s="58"/>
      <c r="J1700" s="58"/>
      <c r="K1700" s="59"/>
      <c r="L1700" s="59"/>
    </row>
    <row r="1701" spans="5:12" x14ac:dyDescent="0.25">
      <c r="E1701" s="138"/>
      <c r="F1701" s="138"/>
      <c r="I1701" s="58"/>
      <c r="J1701" s="58"/>
      <c r="K1701" s="59"/>
      <c r="L1701" s="59"/>
    </row>
    <row r="1702" spans="5:12" x14ac:dyDescent="0.25">
      <c r="E1702" s="138"/>
      <c r="F1702" s="138"/>
      <c r="I1702" s="58"/>
      <c r="J1702" s="58"/>
      <c r="K1702" s="59"/>
      <c r="L1702" s="59"/>
    </row>
    <row r="1703" spans="5:12" x14ac:dyDescent="0.25">
      <c r="E1703" s="138"/>
      <c r="F1703" s="138"/>
      <c r="I1703" s="58"/>
      <c r="J1703" s="58"/>
      <c r="K1703" s="59"/>
      <c r="L1703" s="59"/>
    </row>
    <row r="1704" spans="5:12" x14ac:dyDescent="0.25">
      <c r="E1704" s="138"/>
      <c r="F1704" s="138"/>
      <c r="I1704" s="58"/>
      <c r="J1704" s="58"/>
      <c r="K1704" s="59"/>
      <c r="L1704" s="59"/>
    </row>
    <row r="1705" spans="5:12" x14ac:dyDescent="0.25">
      <c r="E1705" s="138"/>
      <c r="F1705" s="138"/>
      <c r="I1705" s="58"/>
      <c r="J1705" s="58"/>
      <c r="K1705" s="59"/>
      <c r="L1705" s="59"/>
    </row>
    <row r="1706" spans="5:12" x14ac:dyDescent="0.25">
      <c r="E1706" s="138"/>
      <c r="F1706" s="138"/>
      <c r="I1706" s="58"/>
      <c r="J1706" s="58"/>
      <c r="K1706" s="59"/>
      <c r="L1706" s="59"/>
    </row>
    <row r="1707" spans="5:12" x14ac:dyDescent="0.25">
      <c r="E1707" s="138"/>
      <c r="F1707" s="138"/>
      <c r="I1707" s="58"/>
      <c r="J1707" s="58"/>
      <c r="K1707" s="59"/>
      <c r="L1707" s="59"/>
    </row>
    <row r="1708" spans="5:12" x14ac:dyDescent="0.25">
      <c r="E1708" s="138"/>
      <c r="F1708" s="138"/>
      <c r="I1708" s="58"/>
      <c r="J1708" s="58"/>
      <c r="K1708" s="59"/>
      <c r="L1708" s="59"/>
    </row>
    <row r="1709" spans="5:12" x14ac:dyDescent="0.25">
      <c r="E1709" s="138"/>
      <c r="F1709" s="138"/>
      <c r="I1709" s="58"/>
      <c r="J1709" s="58"/>
      <c r="K1709" s="59"/>
      <c r="L1709" s="59"/>
    </row>
    <row r="1710" spans="5:12" x14ac:dyDescent="0.25">
      <c r="E1710" s="138"/>
      <c r="F1710" s="138"/>
      <c r="I1710" s="58"/>
      <c r="J1710" s="58"/>
      <c r="K1710" s="59"/>
      <c r="L1710" s="59"/>
    </row>
    <row r="1711" spans="5:12" x14ac:dyDescent="0.25">
      <c r="E1711" s="138"/>
      <c r="F1711" s="138"/>
      <c r="I1711" s="58"/>
      <c r="J1711" s="58"/>
      <c r="K1711" s="59"/>
      <c r="L1711" s="59"/>
    </row>
    <row r="1712" spans="5:12" x14ac:dyDescent="0.25">
      <c r="E1712" s="138"/>
      <c r="F1712" s="138"/>
      <c r="I1712" s="58"/>
      <c r="J1712" s="58"/>
      <c r="K1712" s="59"/>
      <c r="L1712" s="59"/>
    </row>
    <row r="1713" spans="5:12" x14ac:dyDescent="0.25">
      <c r="E1713" s="138"/>
      <c r="F1713" s="138"/>
      <c r="I1713" s="58"/>
      <c r="J1713" s="58"/>
      <c r="K1713" s="59"/>
      <c r="L1713" s="59"/>
    </row>
    <row r="1714" spans="5:12" x14ac:dyDescent="0.25">
      <c r="E1714" s="138"/>
      <c r="F1714" s="138"/>
      <c r="I1714" s="58"/>
      <c r="J1714" s="58"/>
      <c r="K1714" s="59"/>
      <c r="L1714" s="59"/>
    </row>
    <row r="1715" spans="5:12" x14ac:dyDescent="0.25">
      <c r="E1715" s="138"/>
      <c r="F1715" s="138"/>
      <c r="I1715" s="58"/>
      <c r="J1715" s="58"/>
      <c r="K1715" s="59"/>
      <c r="L1715" s="59"/>
    </row>
    <row r="1716" spans="5:12" x14ac:dyDescent="0.25">
      <c r="E1716" s="138"/>
      <c r="F1716" s="138"/>
      <c r="I1716" s="58"/>
      <c r="J1716" s="58"/>
      <c r="K1716" s="59"/>
      <c r="L1716" s="59"/>
    </row>
    <row r="1717" spans="5:12" x14ac:dyDescent="0.25">
      <c r="E1717" s="138"/>
      <c r="F1717" s="138"/>
      <c r="I1717" s="58"/>
      <c r="J1717" s="58"/>
      <c r="K1717" s="59"/>
      <c r="L1717" s="59"/>
    </row>
    <row r="1718" spans="5:12" x14ac:dyDescent="0.25">
      <c r="E1718" s="138"/>
      <c r="F1718" s="138"/>
      <c r="I1718" s="58"/>
      <c r="J1718" s="58"/>
      <c r="K1718" s="59"/>
      <c r="L1718" s="59"/>
    </row>
    <row r="1719" spans="5:12" x14ac:dyDescent="0.25">
      <c r="E1719" s="138"/>
      <c r="F1719" s="138"/>
      <c r="I1719" s="58"/>
      <c r="J1719" s="58"/>
      <c r="K1719" s="59"/>
      <c r="L1719" s="59"/>
    </row>
    <row r="1720" spans="5:12" x14ac:dyDescent="0.25">
      <c r="E1720" s="138"/>
      <c r="F1720" s="138"/>
      <c r="I1720" s="58"/>
      <c r="J1720" s="58"/>
      <c r="K1720" s="59"/>
      <c r="L1720" s="59"/>
    </row>
    <row r="1721" spans="5:12" x14ac:dyDescent="0.25">
      <c r="E1721" s="138"/>
      <c r="F1721" s="138"/>
      <c r="I1721" s="58"/>
      <c r="J1721" s="58"/>
      <c r="K1721" s="59"/>
      <c r="L1721" s="59"/>
    </row>
    <row r="1722" spans="5:12" x14ac:dyDescent="0.25">
      <c r="E1722" s="138"/>
      <c r="F1722" s="138"/>
      <c r="I1722" s="58"/>
      <c r="J1722" s="58"/>
      <c r="K1722" s="59"/>
      <c r="L1722" s="59"/>
    </row>
    <row r="1723" spans="5:12" x14ac:dyDescent="0.25">
      <c r="E1723" s="138"/>
      <c r="F1723" s="138"/>
      <c r="I1723" s="58"/>
      <c r="J1723" s="58"/>
      <c r="K1723" s="59"/>
      <c r="L1723" s="59"/>
    </row>
    <row r="1724" spans="5:12" x14ac:dyDescent="0.25">
      <c r="E1724" s="138"/>
      <c r="F1724" s="138"/>
      <c r="I1724" s="58"/>
      <c r="J1724" s="58"/>
      <c r="K1724" s="59"/>
      <c r="L1724" s="59"/>
    </row>
    <row r="1725" spans="5:12" x14ac:dyDescent="0.25">
      <c r="E1725" s="138"/>
      <c r="F1725" s="138"/>
      <c r="I1725" s="58"/>
      <c r="J1725" s="58"/>
      <c r="K1725" s="59"/>
      <c r="L1725" s="59"/>
    </row>
    <row r="1726" spans="5:12" x14ac:dyDescent="0.25">
      <c r="E1726" s="138"/>
      <c r="F1726" s="138"/>
      <c r="I1726" s="58"/>
      <c r="J1726" s="58"/>
      <c r="K1726" s="59"/>
      <c r="L1726" s="59"/>
    </row>
    <row r="1727" spans="5:12" x14ac:dyDescent="0.25">
      <c r="E1727" s="138"/>
      <c r="F1727" s="138"/>
      <c r="I1727" s="58"/>
      <c r="J1727" s="58"/>
      <c r="K1727" s="59"/>
      <c r="L1727" s="59"/>
    </row>
    <row r="1728" spans="5:12" x14ac:dyDescent="0.25">
      <c r="E1728" s="138"/>
      <c r="F1728" s="138"/>
      <c r="I1728" s="58"/>
      <c r="J1728" s="58"/>
      <c r="K1728" s="59"/>
      <c r="L1728" s="59"/>
    </row>
    <row r="1729" spans="5:12" x14ac:dyDescent="0.25">
      <c r="E1729" s="138"/>
      <c r="F1729" s="138"/>
      <c r="I1729" s="58"/>
      <c r="J1729" s="58"/>
      <c r="K1729" s="59"/>
      <c r="L1729" s="59"/>
    </row>
    <row r="1730" spans="5:12" x14ac:dyDescent="0.25">
      <c r="E1730" s="138"/>
      <c r="F1730" s="138"/>
      <c r="I1730" s="58"/>
      <c r="J1730" s="58"/>
      <c r="K1730" s="59"/>
      <c r="L1730" s="59"/>
    </row>
    <row r="1731" spans="5:12" x14ac:dyDescent="0.25">
      <c r="E1731" s="138"/>
      <c r="F1731" s="138"/>
      <c r="I1731" s="58"/>
      <c r="J1731" s="58"/>
      <c r="K1731" s="59"/>
      <c r="L1731" s="59"/>
    </row>
    <row r="1732" spans="5:12" x14ac:dyDescent="0.25">
      <c r="E1732" s="138"/>
      <c r="F1732" s="138"/>
      <c r="I1732" s="58"/>
      <c r="J1732" s="58"/>
      <c r="K1732" s="59"/>
      <c r="L1732" s="59"/>
    </row>
    <row r="1733" spans="5:12" x14ac:dyDescent="0.25">
      <c r="E1733" s="138"/>
      <c r="F1733" s="138"/>
      <c r="I1733" s="58"/>
      <c r="J1733" s="58"/>
      <c r="K1733" s="59"/>
      <c r="L1733" s="59"/>
    </row>
    <row r="1734" spans="5:12" x14ac:dyDescent="0.25">
      <c r="E1734" s="138"/>
      <c r="F1734" s="138"/>
      <c r="I1734" s="58"/>
      <c r="J1734" s="58"/>
      <c r="K1734" s="59"/>
      <c r="L1734" s="59"/>
    </row>
    <row r="1735" spans="5:12" x14ac:dyDescent="0.25">
      <c r="E1735" s="138"/>
      <c r="F1735" s="138"/>
      <c r="I1735" s="58"/>
      <c r="J1735" s="58"/>
      <c r="K1735" s="59"/>
      <c r="L1735" s="59"/>
    </row>
    <row r="1736" spans="5:12" x14ac:dyDescent="0.25">
      <c r="E1736" s="138"/>
      <c r="F1736" s="138"/>
      <c r="I1736" s="58"/>
      <c r="J1736" s="58"/>
      <c r="K1736" s="59"/>
      <c r="L1736" s="59"/>
    </row>
    <row r="1737" spans="5:12" x14ac:dyDescent="0.25">
      <c r="E1737" s="138"/>
      <c r="F1737" s="138"/>
      <c r="I1737" s="58"/>
      <c r="J1737" s="58"/>
      <c r="K1737" s="59"/>
      <c r="L1737" s="59"/>
    </row>
    <row r="1738" spans="5:12" x14ac:dyDescent="0.25">
      <c r="E1738" s="138"/>
      <c r="F1738" s="138"/>
      <c r="I1738" s="58"/>
      <c r="J1738" s="58"/>
      <c r="K1738" s="59"/>
      <c r="L1738" s="59"/>
    </row>
    <row r="1739" spans="5:12" x14ac:dyDescent="0.25">
      <c r="E1739" s="138"/>
      <c r="F1739" s="138"/>
      <c r="I1739" s="58"/>
      <c r="J1739" s="58"/>
      <c r="K1739" s="59"/>
      <c r="L1739" s="59"/>
    </row>
    <row r="1740" spans="5:12" x14ac:dyDescent="0.25">
      <c r="E1740" s="138"/>
      <c r="F1740" s="138"/>
      <c r="I1740" s="58"/>
      <c r="J1740" s="58"/>
      <c r="K1740" s="59"/>
      <c r="L1740" s="59"/>
    </row>
    <row r="1741" spans="5:12" x14ac:dyDescent="0.25">
      <c r="E1741" s="138"/>
      <c r="F1741" s="138"/>
      <c r="I1741" s="58"/>
      <c r="J1741" s="58"/>
      <c r="K1741" s="59"/>
      <c r="L1741" s="59"/>
    </row>
    <row r="1742" spans="5:12" x14ac:dyDescent="0.25">
      <c r="E1742" s="138"/>
      <c r="F1742" s="138"/>
      <c r="I1742" s="58"/>
      <c r="J1742" s="58"/>
      <c r="K1742" s="59"/>
      <c r="L1742" s="59"/>
    </row>
    <row r="1743" spans="5:12" x14ac:dyDescent="0.25">
      <c r="E1743" s="138"/>
      <c r="F1743" s="138"/>
      <c r="I1743" s="58"/>
      <c r="J1743" s="58"/>
      <c r="K1743" s="59"/>
      <c r="L1743" s="59"/>
    </row>
    <row r="1744" spans="5:12" x14ac:dyDescent="0.25">
      <c r="E1744" s="138"/>
      <c r="F1744" s="138"/>
      <c r="I1744" s="58"/>
      <c r="J1744" s="58"/>
      <c r="K1744" s="59"/>
      <c r="L1744" s="59"/>
    </row>
    <row r="1745" spans="5:12" x14ac:dyDescent="0.25">
      <c r="E1745" s="138"/>
      <c r="F1745" s="138"/>
      <c r="I1745" s="58"/>
      <c r="J1745" s="58"/>
      <c r="K1745" s="59"/>
      <c r="L1745" s="59"/>
    </row>
    <row r="1746" spans="5:12" x14ac:dyDescent="0.25">
      <c r="E1746" s="138"/>
      <c r="F1746" s="138"/>
      <c r="I1746" s="58"/>
      <c r="J1746" s="58"/>
      <c r="K1746" s="59"/>
      <c r="L1746" s="59"/>
    </row>
    <row r="1747" spans="5:12" x14ac:dyDescent="0.25">
      <c r="E1747" s="138"/>
      <c r="F1747" s="138"/>
      <c r="I1747" s="58"/>
      <c r="J1747" s="58"/>
      <c r="K1747" s="59"/>
      <c r="L1747" s="59"/>
    </row>
    <row r="1748" spans="5:12" x14ac:dyDescent="0.25">
      <c r="E1748" s="138"/>
      <c r="F1748" s="138"/>
      <c r="I1748" s="58"/>
      <c r="J1748" s="58"/>
      <c r="K1748" s="59"/>
      <c r="L1748" s="59"/>
    </row>
    <row r="1749" spans="5:12" x14ac:dyDescent="0.25">
      <c r="E1749" s="138"/>
      <c r="F1749" s="138"/>
      <c r="I1749" s="58"/>
      <c r="J1749" s="58"/>
      <c r="K1749" s="59"/>
      <c r="L1749" s="59"/>
    </row>
    <row r="1750" spans="5:12" x14ac:dyDescent="0.25">
      <c r="E1750" s="138"/>
      <c r="F1750" s="138"/>
      <c r="I1750" s="58"/>
      <c r="J1750" s="58"/>
      <c r="K1750" s="59"/>
      <c r="L1750" s="59"/>
    </row>
    <row r="1751" spans="5:12" x14ac:dyDescent="0.25">
      <c r="E1751" s="138"/>
      <c r="F1751" s="138"/>
      <c r="I1751" s="58"/>
      <c r="J1751" s="58"/>
      <c r="K1751" s="59"/>
      <c r="L1751" s="59"/>
    </row>
    <row r="1752" spans="5:12" x14ac:dyDescent="0.25">
      <c r="E1752" s="138"/>
      <c r="F1752" s="138"/>
      <c r="I1752" s="58"/>
      <c r="J1752" s="58"/>
      <c r="K1752" s="59"/>
      <c r="L1752" s="59"/>
    </row>
    <row r="1753" spans="5:12" x14ac:dyDescent="0.25">
      <c r="E1753" s="138"/>
      <c r="F1753" s="138"/>
      <c r="I1753" s="58"/>
      <c r="J1753" s="58"/>
      <c r="K1753" s="59"/>
      <c r="L1753" s="59"/>
    </row>
    <row r="1754" spans="5:12" x14ac:dyDescent="0.25">
      <c r="E1754" s="138"/>
      <c r="F1754" s="138"/>
      <c r="I1754" s="58"/>
      <c r="J1754" s="58"/>
      <c r="K1754" s="59"/>
      <c r="L1754" s="59"/>
    </row>
    <row r="1755" spans="5:12" x14ac:dyDescent="0.25">
      <c r="E1755" s="138"/>
      <c r="F1755" s="138"/>
      <c r="I1755" s="58"/>
      <c r="J1755" s="58"/>
      <c r="K1755" s="59"/>
      <c r="L1755" s="59"/>
    </row>
    <row r="1756" spans="5:12" x14ac:dyDescent="0.25">
      <c r="E1756" s="138"/>
      <c r="F1756" s="138"/>
      <c r="I1756" s="58"/>
      <c r="J1756" s="58"/>
      <c r="K1756" s="59"/>
      <c r="L1756" s="59"/>
    </row>
    <row r="1757" spans="5:12" x14ac:dyDescent="0.25">
      <c r="E1757" s="138"/>
      <c r="F1757" s="138"/>
      <c r="I1757" s="58"/>
      <c r="J1757" s="58"/>
      <c r="K1757" s="59"/>
      <c r="L1757" s="59"/>
    </row>
    <row r="1758" spans="5:12" x14ac:dyDescent="0.25">
      <c r="E1758" s="138"/>
      <c r="F1758" s="138"/>
      <c r="I1758" s="58"/>
      <c r="J1758" s="58"/>
      <c r="K1758" s="59"/>
      <c r="L1758" s="59"/>
    </row>
    <row r="1759" spans="5:12" x14ac:dyDescent="0.25">
      <c r="E1759" s="138"/>
      <c r="F1759" s="138"/>
      <c r="I1759" s="58"/>
      <c r="J1759" s="58"/>
      <c r="K1759" s="59"/>
      <c r="L1759" s="59"/>
    </row>
    <row r="1760" spans="5:12" x14ac:dyDescent="0.25">
      <c r="E1760" s="138"/>
      <c r="F1760" s="138"/>
      <c r="I1760" s="58"/>
      <c r="J1760" s="58"/>
      <c r="K1760" s="59"/>
      <c r="L1760" s="59"/>
    </row>
    <row r="1761" spans="5:12" x14ac:dyDescent="0.25">
      <c r="E1761" s="138"/>
      <c r="F1761" s="138"/>
      <c r="I1761" s="58"/>
      <c r="J1761" s="58"/>
      <c r="K1761" s="59"/>
      <c r="L1761" s="59"/>
    </row>
    <row r="1762" spans="5:12" x14ac:dyDescent="0.25">
      <c r="E1762" s="138"/>
      <c r="F1762" s="138"/>
      <c r="I1762" s="58"/>
      <c r="J1762" s="58"/>
      <c r="K1762" s="59"/>
      <c r="L1762" s="59"/>
    </row>
    <row r="1763" spans="5:12" x14ac:dyDescent="0.25">
      <c r="E1763" s="138"/>
      <c r="F1763" s="138"/>
      <c r="I1763" s="58"/>
      <c r="J1763" s="58"/>
      <c r="K1763" s="59"/>
      <c r="L1763" s="59"/>
    </row>
    <row r="1764" spans="5:12" x14ac:dyDescent="0.25">
      <c r="E1764" s="138"/>
      <c r="F1764" s="138"/>
      <c r="I1764" s="58"/>
      <c r="J1764" s="58"/>
      <c r="K1764" s="59"/>
      <c r="L1764" s="59"/>
    </row>
    <row r="1765" spans="5:12" x14ac:dyDescent="0.25">
      <c r="E1765" s="138"/>
      <c r="F1765" s="138"/>
      <c r="I1765" s="58"/>
      <c r="J1765" s="58"/>
      <c r="K1765" s="59"/>
      <c r="L1765" s="59"/>
    </row>
    <row r="1766" spans="5:12" x14ac:dyDescent="0.25">
      <c r="E1766" s="138"/>
      <c r="F1766" s="138"/>
      <c r="I1766" s="58"/>
      <c r="J1766" s="58"/>
      <c r="K1766" s="59"/>
      <c r="L1766" s="59"/>
    </row>
    <row r="1767" spans="5:12" x14ac:dyDescent="0.25">
      <c r="E1767" s="138"/>
      <c r="F1767" s="138"/>
      <c r="I1767" s="58"/>
      <c r="J1767" s="58"/>
      <c r="K1767" s="59"/>
      <c r="L1767" s="59"/>
    </row>
    <row r="1768" spans="5:12" x14ac:dyDescent="0.25">
      <c r="E1768" s="138"/>
      <c r="F1768" s="138"/>
      <c r="I1768" s="58"/>
      <c r="J1768" s="58"/>
      <c r="K1768" s="59"/>
      <c r="L1768" s="59"/>
    </row>
    <row r="1769" spans="5:12" x14ac:dyDescent="0.25">
      <c r="E1769" s="138"/>
      <c r="F1769" s="138"/>
      <c r="I1769" s="58"/>
      <c r="J1769" s="58"/>
      <c r="K1769" s="59"/>
      <c r="L1769" s="59"/>
    </row>
    <row r="1770" spans="5:12" x14ac:dyDescent="0.25">
      <c r="E1770" s="138"/>
      <c r="F1770" s="138"/>
      <c r="I1770" s="58"/>
      <c r="J1770" s="58"/>
      <c r="K1770" s="59"/>
      <c r="L1770" s="59"/>
    </row>
    <row r="1771" spans="5:12" x14ac:dyDescent="0.25">
      <c r="E1771" s="138"/>
      <c r="F1771" s="138"/>
      <c r="I1771" s="58"/>
      <c r="J1771" s="58"/>
      <c r="K1771" s="59"/>
      <c r="L1771" s="59"/>
    </row>
    <row r="1772" spans="5:12" x14ac:dyDescent="0.25">
      <c r="E1772" s="138"/>
      <c r="F1772" s="138"/>
      <c r="I1772" s="58"/>
      <c r="J1772" s="58"/>
      <c r="K1772" s="59"/>
      <c r="L1772" s="59"/>
    </row>
    <row r="1773" spans="5:12" x14ac:dyDescent="0.25">
      <c r="E1773" s="138"/>
      <c r="F1773" s="138"/>
      <c r="I1773" s="58"/>
      <c r="J1773" s="58"/>
      <c r="K1773" s="59"/>
      <c r="L1773" s="59"/>
    </row>
    <row r="1774" spans="5:12" x14ac:dyDescent="0.25">
      <c r="E1774" s="138"/>
      <c r="F1774" s="138"/>
      <c r="I1774" s="58"/>
      <c r="J1774" s="58"/>
      <c r="K1774" s="59"/>
      <c r="L1774" s="59"/>
    </row>
    <row r="1775" spans="5:12" x14ac:dyDescent="0.25">
      <c r="E1775" s="138"/>
      <c r="F1775" s="138"/>
      <c r="I1775" s="58"/>
      <c r="J1775" s="58"/>
      <c r="K1775" s="59"/>
      <c r="L1775" s="59"/>
    </row>
    <row r="1776" spans="5:12" x14ac:dyDescent="0.25">
      <c r="E1776" s="138"/>
      <c r="F1776" s="138"/>
      <c r="I1776" s="58"/>
      <c r="J1776" s="58"/>
      <c r="K1776" s="59"/>
      <c r="L1776" s="59"/>
    </row>
    <row r="1777" spans="5:12" x14ac:dyDescent="0.25">
      <c r="E1777" s="138"/>
      <c r="F1777" s="138"/>
      <c r="I1777" s="58"/>
      <c r="J1777" s="58"/>
      <c r="K1777" s="59"/>
      <c r="L1777" s="59"/>
    </row>
    <row r="1778" spans="5:12" x14ac:dyDescent="0.25">
      <c r="E1778" s="138"/>
      <c r="F1778" s="138"/>
      <c r="I1778" s="58"/>
      <c r="J1778" s="58"/>
      <c r="K1778" s="59"/>
      <c r="L1778" s="59"/>
    </row>
    <row r="1779" spans="5:12" x14ac:dyDescent="0.25">
      <c r="E1779" s="138"/>
      <c r="F1779" s="138"/>
      <c r="I1779" s="58"/>
      <c r="J1779" s="58"/>
      <c r="K1779" s="59"/>
      <c r="L1779" s="59"/>
    </row>
    <row r="1780" spans="5:12" x14ac:dyDescent="0.25">
      <c r="E1780" s="138"/>
      <c r="F1780" s="138"/>
      <c r="I1780" s="58"/>
      <c r="J1780" s="58"/>
      <c r="K1780" s="59"/>
      <c r="L1780" s="59"/>
    </row>
    <row r="1781" spans="5:12" x14ac:dyDescent="0.25">
      <c r="E1781" s="138"/>
      <c r="F1781" s="138"/>
      <c r="I1781" s="58"/>
      <c r="J1781" s="58"/>
      <c r="K1781" s="59"/>
      <c r="L1781" s="59"/>
    </row>
    <row r="1782" spans="5:12" x14ac:dyDescent="0.25">
      <c r="E1782" s="138"/>
      <c r="F1782" s="138"/>
      <c r="I1782" s="58"/>
      <c r="J1782" s="58"/>
      <c r="K1782" s="59"/>
      <c r="L1782" s="59"/>
    </row>
    <row r="1783" spans="5:12" x14ac:dyDescent="0.25">
      <c r="E1783" s="138"/>
      <c r="F1783" s="138"/>
      <c r="I1783" s="58"/>
      <c r="J1783" s="58"/>
      <c r="K1783" s="59"/>
      <c r="L1783" s="59"/>
    </row>
    <row r="1784" spans="5:12" x14ac:dyDescent="0.25">
      <c r="E1784" s="138"/>
      <c r="F1784" s="138"/>
      <c r="I1784" s="58"/>
      <c r="J1784" s="58"/>
      <c r="K1784" s="59"/>
      <c r="L1784" s="59"/>
    </row>
    <row r="1785" spans="5:12" x14ac:dyDescent="0.25">
      <c r="E1785" s="138"/>
      <c r="F1785" s="138"/>
      <c r="I1785" s="58"/>
      <c r="J1785" s="58"/>
      <c r="K1785" s="59"/>
      <c r="L1785" s="59"/>
    </row>
    <row r="1786" spans="5:12" x14ac:dyDescent="0.25">
      <c r="E1786" s="138"/>
      <c r="F1786" s="138"/>
      <c r="I1786" s="58"/>
      <c r="J1786" s="58"/>
      <c r="K1786" s="59"/>
      <c r="L1786" s="59"/>
    </row>
    <row r="1787" spans="5:12" x14ac:dyDescent="0.25">
      <c r="E1787" s="138"/>
      <c r="F1787" s="138"/>
      <c r="I1787" s="58"/>
      <c r="J1787" s="58"/>
      <c r="K1787" s="59"/>
      <c r="L1787" s="59"/>
    </row>
    <row r="1788" spans="5:12" x14ac:dyDescent="0.25">
      <c r="E1788" s="138"/>
      <c r="F1788" s="138"/>
      <c r="I1788" s="58"/>
      <c r="J1788" s="58"/>
      <c r="K1788" s="59"/>
      <c r="L1788" s="59"/>
    </row>
    <row r="1789" spans="5:12" x14ac:dyDescent="0.25">
      <c r="E1789" s="138"/>
      <c r="F1789" s="138"/>
      <c r="I1789" s="58"/>
      <c r="J1789" s="58"/>
      <c r="K1789" s="59"/>
      <c r="L1789" s="59"/>
    </row>
    <row r="1790" spans="5:12" x14ac:dyDescent="0.25">
      <c r="E1790" s="138"/>
      <c r="F1790" s="138"/>
      <c r="I1790" s="58"/>
      <c r="J1790" s="58"/>
      <c r="K1790" s="59"/>
      <c r="L1790" s="59"/>
    </row>
    <row r="1791" spans="5:12" x14ac:dyDescent="0.25">
      <c r="E1791" s="138"/>
      <c r="F1791" s="138"/>
      <c r="I1791" s="58"/>
      <c r="J1791" s="58"/>
      <c r="K1791" s="59"/>
      <c r="L1791" s="59"/>
    </row>
    <row r="1792" spans="5:12" x14ac:dyDescent="0.25">
      <c r="E1792" s="138"/>
      <c r="F1792" s="138"/>
      <c r="I1792" s="58"/>
      <c r="J1792" s="58"/>
      <c r="K1792" s="59"/>
      <c r="L1792" s="59"/>
    </row>
    <row r="1793" spans="5:12" x14ac:dyDescent="0.25">
      <c r="E1793" s="138"/>
      <c r="F1793" s="138"/>
      <c r="I1793" s="58"/>
      <c r="J1793" s="58"/>
      <c r="K1793" s="59"/>
      <c r="L1793" s="59"/>
    </row>
    <row r="1794" spans="5:12" x14ac:dyDescent="0.25">
      <c r="E1794" s="138"/>
      <c r="F1794" s="138"/>
      <c r="I1794" s="58"/>
      <c r="J1794" s="58"/>
      <c r="K1794" s="59"/>
      <c r="L1794" s="59"/>
    </row>
    <row r="1795" spans="5:12" x14ac:dyDescent="0.25">
      <c r="E1795" s="138"/>
      <c r="F1795" s="138"/>
      <c r="I1795" s="58"/>
      <c r="J1795" s="58"/>
      <c r="K1795" s="59"/>
      <c r="L1795" s="59"/>
    </row>
    <row r="1796" spans="5:12" x14ac:dyDescent="0.25">
      <c r="E1796" s="138"/>
      <c r="F1796" s="138"/>
      <c r="I1796" s="58"/>
      <c r="J1796" s="58"/>
      <c r="K1796" s="59"/>
      <c r="L1796" s="59"/>
    </row>
    <row r="1797" spans="5:12" x14ac:dyDescent="0.25">
      <c r="E1797" s="138"/>
      <c r="F1797" s="138"/>
      <c r="I1797" s="58"/>
      <c r="J1797" s="58"/>
      <c r="K1797" s="59"/>
      <c r="L1797" s="59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E0075-631B-471D-9C21-2ABB879F3B59}">
  <dimension ref="A1:B13"/>
  <sheetViews>
    <sheetView workbookViewId="0">
      <selection activeCell="B4" sqref="B4"/>
    </sheetView>
  </sheetViews>
  <sheetFormatPr defaultRowHeight="15" x14ac:dyDescent="0.25"/>
  <cols>
    <col min="1" max="1" width="94" bestFit="1" customWidth="1"/>
    <col min="2" max="2" width="7.140625" bestFit="1" customWidth="1"/>
  </cols>
  <sheetData>
    <row r="1" spans="1:2" x14ac:dyDescent="0.25">
      <c r="A1" t="s">
        <v>546</v>
      </c>
      <c r="B1" t="s">
        <v>547</v>
      </c>
    </row>
    <row r="2" spans="1:2" x14ac:dyDescent="0.25">
      <c r="A2" t="s">
        <v>548</v>
      </c>
      <c r="B2" t="s">
        <v>549</v>
      </c>
    </row>
    <row r="3" spans="1:2" x14ac:dyDescent="0.25">
      <c r="A3" t="s">
        <v>550</v>
      </c>
      <c r="B3" t="s">
        <v>549</v>
      </c>
    </row>
    <row r="4" spans="1:2" x14ac:dyDescent="0.25">
      <c r="A4" t="s">
        <v>551</v>
      </c>
      <c r="B4" t="s">
        <v>549</v>
      </c>
    </row>
    <row r="5" spans="1:2" x14ac:dyDescent="0.25">
      <c r="A5" t="s">
        <v>552</v>
      </c>
    </row>
    <row r="6" spans="1:2" x14ac:dyDescent="0.25">
      <c r="A6" t="s">
        <v>553</v>
      </c>
    </row>
    <row r="10" spans="1:2" x14ac:dyDescent="0.25">
      <c r="A10" t="s">
        <v>557</v>
      </c>
    </row>
    <row r="11" spans="1:2" x14ac:dyDescent="0.25">
      <c r="A11" t="s">
        <v>554</v>
      </c>
    </row>
    <row r="12" spans="1:2" x14ac:dyDescent="0.25">
      <c r="A12" t="s">
        <v>555</v>
      </c>
    </row>
    <row r="13" spans="1:2" x14ac:dyDescent="0.25">
      <c r="A13" t="s">
        <v>556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716BA-CE68-4384-84E8-A739EBCEA0BB}">
  <dimension ref="E6:M10"/>
  <sheetViews>
    <sheetView showGridLines="0" workbookViewId="0">
      <selection activeCell="H37" sqref="H37"/>
    </sheetView>
  </sheetViews>
  <sheetFormatPr defaultRowHeight="15" x14ac:dyDescent="0.25"/>
  <cols>
    <col min="5" max="10" width="10" customWidth="1"/>
    <col min="11" max="13" width="19.5703125" customWidth="1"/>
  </cols>
  <sheetData>
    <row r="6" spans="5:13" x14ac:dyDescent="0.25">
      <c r="E6" s="183">
        <v>46139</v>
      </c>
      <c r="F6" s="183">
        <f>E6+1</f>
        <v>46140</v>
      </c>
      <c r="G6" s="183">
        <f t="shared" ref="G6:J6" si="0">F6+1</f>
        <v>46141</v>
      </c>
      <c r="H6" s="183">
        <f t="shared" si="0"/>
        <v>46142</v>
      </c>
      <c r="I6" s="183">
        <f t="shared" si="0"/>
        <v>46143</v>
      </c>
      <c r="J6" s="183">
        <f t="shared" si="0"/>
        <v>46144</v>
      </c>
    </row>
    <row r="7" spans="5:13" x14ac:dyDescent="0.25">
      <c r="E7" s="127" t="s">
        <v>497</v>
      </c>
      <c r="F7" s="127" t="s">
        <v>498</v>
      </c>
      <c r="G7" s="127" t="s">
        <v>499</v>
      </c>
      <c r="H7" s="127" t="s">
        <v>500</v>
      </c>
      <c r="I7" s="127" t="s">
        <v>501</v>
      </c>
      <c r="J7" s="127" t="s">
        <v>502</v>
      </c>
      <c r="K7" s="129" t="s">
        <v>504</v>
      </c>
      <c r="L7" s="129" t="s">
        <v>503</v>
      </c>
      <c r="M7" s="129" t="s">
        <v>505</v>
      </c>
    </row>
    <row r="8" spans="5:13" x14ac:dyDescent="0.25">
      <c r="E8" s="128"/>
      <c r="F8" s="128">
        <v>0</v>
      </c>
      <c r="G8" s="128">
        <v>68000</v>
      </c>
      <c r="H8" s="128">
        <f>28000*2</f>
        <v>56000</v>
      </c>
      <c r="I8" s="128">
        <v>0</v>
      </c>
      <c r="J8" s="128">
        <v>0</v>
      </c>
      <c r="K8" s="128">
        <f>SUM(E8:J8)</f>
        <v>124000</v>
      </c>
      <c r="L8" s="128">
        <v>133402</v>
      </c>
      <c r="M8" s="128">
        <f>K8-L8</f>
        <v>-9402</v>
      </c>
    </row>
    <row r="10" spans="5:13" x14ac:dyDescent="0.25">
      <c r="L10" s="95"/>
    </row>
  </sheetData>
  <conditionalFormatting sqref="M8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D6206-87B7-4EEB-9789-16A0A8FD3BEB}">
  <sheetPr codeName="Planilha3"/>
  <dimension ref="A1:M170"/>
  <sheetViews>
    <sheetView workbookViewId="0">
      <selection activeCell="H11" sqref="H11"/>
    </sheetView>
  </sheetViews>
  <sheetFormatPr defaultRowHeight="15" x14ac:dyDescent="0.25"/>
  <cols>
    <col min="1" max="1" width="7.7109375" bestFit="1" customWidth="1"/>
    <col min="2" max="2" width="47.140625" bestFit="1" customWidth="1"/>
    <col min="3" max="3" width="3.7109375" bestFit="1" customWidth="1"/>
    <col min="4" max="4" width="9.28515625" bestFit="1" customWidth="1"/>
    <col min="5" max="5" width="28.7109375" bestFit="1" customWidth="1"/>
    <col min="6" max="6" width="22.85546875" bestFit="1" customWidth="1"/>
    <col min="7" max="7" width="30" bestFit="1" customWidth="1"/>
    <col min="8" max="8" width="48.42578125" bestFit="1" customWidth="1"/>
    <col min="9" max="9" width="29.42578125" bestFit="1" customWidth="1"/>
    <col min="10" max="10" width="18.5703125" bestFit="1" customWidth="1"/>
    <col min="11" max="11" width="6.28515625" bestFit="1" customWidth="1"/>
    <col min="12" max="12" width="15.140625" bestFit="1" customWidth="1"/>
    <col min="13" max="13" width="11.5703125" bestFit="1" customWidth="1"/>
  </cols>
  <sheetData>
    <row r="1" spans="1:13" x14ac:dyDescent="0.25">
      <c r="A1" t="s">
        <v>266</v>
      </c>
      <c r="B1" t="s">
        <v>267</v>
      </c>
      <c r="C1" t="s">
        <v>211</v>
      </c>
      <c r="D1" t="s">
        <v>268</v>
      </c>
      <c r="E1" t="s">
        <v>269</v>
      </c>
      <c r="F1" t="s">
        <v>270</v>
      </c>
      <c r="G1" t="s">
        <v>271</v>
      </c>
      <c r="H1" t="s">
        <v>272</v>
      </c>
      <c r="I1" t="s">
        <v>273</v>
      </c>
      <c r="J1" t="s">
        <v>274</v>
      </c>
      <c r="K1" t="s">
        <v>275</v>
      </c>
      <c r="L1" t="s">
        <v>276</v>
      </c>
      <c r="M1" t="s">
        <v>277</v>
      </c>
    </row>
    <row r="2" spans="1:13" x14ac:dyDescent="0.25">
      <c r="A2" t="s">
        <v>56</v>
      </c>
      <c r="B2" t="s">
        <v>57</v>
      </c>
      <c r="C2" t="s">
        <v>78</v>
      </c>
      <c r="D2" t="s">
        <v>79</v>
      </c>
      <c r="E2" t="s">
        <v>278</v>
      </c>
      <c r="F2" t="s">
        <v>279</v>
      </c>
      <c r="G2" t="s">
        <v>280</v>
      </c>
      <c r="H2" t="s">
        <v>281</v>
      </c>
      <c r="I2" t="s">
        <v>282</v>
      </c>
      <c r="J2">
        <v>44</v>
      </c>
      <c r="K2">
        <v>12</v>
      </c>
      <c r="L2">
        <v>21132</v>
      </c>
    </row>
    <row r="3" spans="1:13" x14ac:dyDescent="0.25">
      <c r="A3" t="s">
        <v>214</v>
      </c>
      <c r="B3" t="s">
        <v>215</v>
      </c>
      <c r="C3" t="s">
        <v>78</v>
      </c>
      <c r="D3" t="s">
        <v>79</v>
      </c>
      <c r="E3" t="s">
        <v>278</v>
      </c>
      <c r="F3" t="s">
        <v>279</v>
      </c>
      <c r="G3" t="s">
        <v>280</v>
      </c>
      <c r="H3" t="s">
        <v>281</v>
      </c>
      <c r="I3" t="s">
        <v>282</v>
      </c>
      <c r="J3">
        <v>44</v>
      </c>
      <c r="K3">
        <v>12</v>
      </c>
      <c r="L3">
        <v>0</v>
      </c>
    </row>
    <row r="4" spans="1:13" x14ac:dyDescent="0.25">
      <c r="A4" t="s">
        <v>257</v>
      </c>
      <c r="B4" t="s">
        <v>258</v>
      </c>
      <c r="C4" t="s">
        <v>78</v>
      </c>
      <c r="D4" t="s">
        <v>198</v>
      </c>
      <c r="E4" t="s">
        <v>283</v>
      </c>
      <c r="F4" t="s">
        <v>284</v>
      </c>
      <c r="G4" t="s">
        <v>285</v>
      </c>
      <c r="H4" t="s">
        <v>286</v>
      </c>
      <c r="I4" t="s">
        <v>287</v>
      </c>
      <c r="J4">
        <v>15</v>
      </c>
      <c r="K4">
        <v>1</v>
      </c>
      <c r="L4">
        <v>0</v>
      </c>
    </row>
    <row r="5" spans="1:13" x14ac:dyDescent="0.25">
      <c r="A5" t="s">
        <v>216</v>
      </c>
      <c r="B5" t="s">
        <v>217</v>
      </c>
      <c r="C5" t="s">
        <v>78</v>
      </c>
      <c r="D5" t="s">
        <v>198</v>
      </c>
      <c r="E5" t="s">
        <v>283</v>
      </c>
      <c r="F5" t="s">
        <v>284</v>
      </c>
      <c r="G5" t="s">
        <v>285</v>
      </c>
      <c r="H5" t="s">
        <v>286</v>
      </c>
      <c r="I5" t="s">
        <v>287</v>
      </c>
      <c r="J5">
        <v>22</v>
      </c>
      <c r="K5">
        <v>1</v>
      </c>
      <c r="L5">
        <v>0</v>
      </c>
    </row>
    <row r="6" spans="1:13" x14ac:dyDescent="0.25">
      <c r="A6" t="s">
        <v>218</v>
      </c>
      <c r="B6" t="s">
        <v>219</v>
      </c>
      <c r="C6" t="s">
        <v>78</v>
      </c>
      <c r="D6" t="s">
        <v>198</v>
      </c>
      <c r="E6" t="s">
        <v>283</v>
      </c>
      <c r="F6" t="s">
        <v>284</v>
      </c>
      <c r="G6" t="s">
        <v>285</v>
      </c>
      <c r="H6" t="s">
        <v>286</v>
      </c>
      <c r="I6" t="s">
        <v>287</v>
      </c>
      <c r="J6">
        <v>22</v>
      </c>
      <c r="K6">
        <v>1</v>
      </c>
      <c r="L6">
        <v>0</v>
      </c>
    </row>
    <row r="7" spans="1:13" x14ac:dyDescent="0.25">
      <c r="A7" t="s">
        <v>220</v>
      </c>
      <c r="B7" t="s">
        <v>221</v>
      </c>
      <c r="C7" t="s">
        <v>78</v>
      </c>
      <c r="D7" t="s">
        <v>198</v>
      </c>
      <c r="E7" t="s">
        <v>283</v>
      </c>
      <c r="F7" t="s">
        <v>284</v>
      </c>
      <c r="G7" t="s">
        <v>285</v>
      </c>
      <c r="H7" t="s">
        <v>286</v>
      </c>
      <c r="I7" t="s">
        <v>287</v>
      </c>
      <c r="J7">
        <v>66</v>
      </c>
      <c r="K7">
        <v>1</v>
      </c>
      <c r="L7">
        <v>0</v>
      </c>
    </row>
    <row r="8" spans="1:13" x14ac:dyDescent="0.25">
      <c r="A8" t="s">
        <v>259</v>
      </c>
      <c r="B8" t="s">
        <v>260</v>
      </c>
      <c r="C8" t="s">
        <v>78</v>
      </c>
      <c r="D8" t="s">
        <v>198</v>
      </c>
      <c r="E8" t="s">
        <v>288</v>
      </c>
      <c r="F8" t="s">
        <v>289</v>
      </c>
      <c r="G8" t="s">
        <v>290</v>
      </c>
      <c r="H8" t="s">
        <v>291</v>
      </c>
      <c r="I8" t="s">
        <v>292</v>
      </c>
      <c r="J8">
        <v>15</v>
      </c>
      <c r="K8">
        <v>12</v>
      </c>
      <c r="L8">
        <v>0</v>
      </c>
    </row>
    <row r="9" spans="1:13" x14ac:dyDescent="0.25">
      <c r="A9" t="s">
        <v>222</v>
      </c>
      <c r="B9" t="s">
        <v>223</v>
      </c>
      <c r="C9" t="s">
        <v>78</v>
      </c>
      <c r="D9" t="s">
        <v>198</v>
      </c>
      <c r="E9" t="s">
        <v>288</v>
      </c>
      <c r="F9" t="s">
        <v>289</v>
      </c>
      <c r="G9" t="s">
        <v>290</v>
      </c>
      <c r="H9" t="s">
        <v>291</v>
      </c>
      <c r="I9" t="s">
        <v>292</v>
      </c>
      <c r="J9">
        <v>22</v>
      </c>
      <c r="K9">
        <v>12</v>
      </c>
      <c r="L9">
        <v>0</v>
      </c>
    </row>
    <row r="10" spans="1:13" x14ac:dyDescent="0.25">
      <c r="A10" t="s">
        <v>293</v>
      </c>
      <c r="B10" t="s">
        <v>294</v>
      </c>
      <c r="C10" t="s">
        <v>78</v>
      </c>
      <c r="D10" t="s">
        <v>198</v>
      </c>
      <c r="E10" t="s">
        <v>288</v>
      </c>
      <c r="F10" t="s">
        <v>289</v>
      </c>
      <c r="G10" t="s">
        <v>295</v>
      </c>
      <c r="H10" t="s">
        <v>291</v>
      </c>
      <c r="I10" t="s">
        <v>292</v>
      </c>
      <c r="J10">
        <v>15</v>
      </c>
      <c r="K10">
        <v>12</v>
      </c>
      <c r="L10">
        <v>0</v>
      </c>
    </row>
    <row r="11" spans="1:13" x14ac:dyDescent="0.25">
      <c r="A11" t="s">
        <v>120</v>
      </c>
      <c r="B11" t="s">
        <v>121</v>
      </c>
      <c r="C11" t="s">
        <v>78</v>
      </c>
      <c r="D11" t="s">
        <v>79</v>
      </c>
      <c r="E11" t="s">
        <v>296</v>
      </c>
      <c r="F11" t="s">
        <v>297</v>
      </c>
      <c r="G11" t="s">
        <v>298</v>
      </c>
      <c r="H11" t="s">
        <v>299</v>
      </c>
      <c r="I11" t="s">
        <v>300</v>
      </c>
      <c r="J11">
        <v>44</v>
      </c>
      <c r="K11">
        <v>6</v>
      </c>
      <c r="L11">
        <v>0</v>
      </c>
    </row>
    <row r="12" spans="1:13" x14ac:dyDescent="0.25">
      <c r="A12" t="s">
        <v>237</v>
      </c>
      <c r="B12" t="s">
        <v>238</v>
      </c>
      <c r="C12" t="s">
        <v>78</v>
      </c>
      <c r="D12" t="s">
        <v>79</v>
      </c>
      <c r="E12" t="s">
        <v>296</v>
      </c>
      <c r="F12" t="s">
        <v>297</v>
      </c>
      <c r="G12" t="s">
        <v>298</v>
      </c>
      <c r="H12" t="s">
        <v>299</v>
      </c>
      <c r="I12" t="s">
        <v>300</v>
      </c>
      <c r="J12">
        <v>44</v>
      </c>
      <c r="K12">
        <v>6</v>
      </c>
      <c r="L12">
        <v>0</v>
      </c>
    </row>
    <row r="13" spans="1:13" x14ac:dyDescent="0.25">
      <c r="A13" t="s">
        <v>42</v>
      </c>
      <c r="B13" t="s">
        <v>43</v>
      </c>
      <c r="C13" t="s">
        <v>78</v>
      </c>
      <c r="D13" t="s">
        <v>79</v>
      </c>
      <c r="E13" t="s">
        <v>296</v>
      </c>
      <c r="F13" t="s">
        <v>297</v>
      </c>
      <c r="G13" t="s">
        <v>298</v>
      </c>
      <c r="H13" t="s">
        <v>299</v>
      </c>
      <c r="I13" t="s">
        <v>300</v>
      </c>
      <c r="J13">
        <v>44</v>
      </c>
      <c r="K13">
        <v>6</v>
      </c>
      <c r="L13">
        <v>109440</v>
      </c>
    </row>
    <row r="14" spans="1:13" x14ac:dyDescent="0.25">
      <c r="A14" t="s">
        <v>261</v>
      </c>
      <c r="B14" t="s">
        <v>262</v>
      </c>
      <c r="C14" t="s">
        <v>78</v>
      </c>
      <c r="D14" t="s">
        <v>198</v>
      </c>
      <c r="E14" t="s">
        <v>296</v>
      </c>
      <c r="F14" t="s">
        <v>297</v>
      </c>
      <c r="G14" t="s">
        <v>301</v>
      </c>
      <c r="H14" t="s">
        <v>302</v>
      </c>
      <c r="I14" t="s">
        <v>303</v>
      </c>
      <c r="J14">
        <v>44</v>
      </c>
      <c r="K14">
        <v>12</v>
      </c>
      <c r="L14">
        <v>0</v>
      </c>
    </row>
    <row r="15" spans="1:13" x14ac:dyDescent="0.25">
      <c r="A15" t="s">
        <v>304</v>
      </c>
      <c r="B15" t="s">
        <v>305</v>
      </c>
      <c r="C15" t="s">
        <v>78</v>
      </c>
      <c r="D15" t="s">
        <v>198</v>
      </c>
      <c r="E15" t="s">
        <v>306</v>
      </c>
      <c r="F15" t="s">
        <v>307</v>
      </c>
      <c r="G15" t="s">
        <v>308</v>
      </c>
      <c r="H15" t="s">
        <v>302</v>
      </c>
      <c r="I15" t="s">
        <v>309</v>
      </c>
      <c r="J15">
        <v>99</v>
      </c>
      <c r="K15">
        <v>6</v>
      </c>
      <c r="L15">
        <v>0</v>
      </c>
    </row>
    <row r="16" spans="1:13" x14ac:dyDescent="0.25">
      <c r="A16" t="s">
        <v>310</v>
      </c>
      <c r="B16" t="s">
        <v>311</v>
      </c>
      <c r="C16" t="s">
        <v>78</v>
      </c>
      <c r="D16" t="s">
        <v>198</v>
      </c>
      <c r="E16" t="s">
        <v>306</v>
      </c>
      <c r="F16" t="s">
        <v>307</v>
      </c>
      <c r="G16" t="s">
        <v>308</v>
      </c>
      <c r="H16" t="s">
        <v>302</v>
      </c>
      <c r="I16" t="s">
        <v>309</v>
      </c>
      <c r="J16">
        <v>99</v>
      </c>
      <c r="K16">
        <v>6</v>
      </c>
      <c r="L16">
        <v>0</v>
      </c>
    </row>
    <row r="17" spans="1:12" x14ac:dyDescent="0.25">
      <c r="A17" t="s">
        <v>263</v>
      </c>
      <c r="B17" t="s">
        <v>264</v>
      </c>
      <c r="C17" t="s">
        <v>78</v>
      </c>
      <c r="D17" t="s">
        <v>198</v>
      </c>
      <c r="E17" t="s">
        <v>288</v>
      </c>
      <c r="F17" t="s">
        <v>289</v>
      </c>
      <c r="G17" t="s">
        <v>312</v>
      </c>
      <c r="H17" t="s">
        <v>313</v>
      </c>
      <c r="I17" t="s">
        <v>314</v>
      </c>
      <c r="J17">
        <v>22</v>
      </c>
      <c r="K17">
        <v>12</v>
      </c>
      <c r="L17">
        <v>0</v>
      </c>
    </row>
    <row r="18" spans="1:12" x14ac:dyDescent="0.25">
      <c r="A18" t="s">
        <v>224</v>
      </c>
      <c r="B18" t="s">
        <v>225</v>
      </c>
      <c r="C18" t="s">
        <v>78</v>
      </c>
      <c r="D18" t="s">
        <v>198</v>
      </c>
      <c r="E18" t="s">
        <v>288</v>
      </c>
      <c r="F18" t="s">
        <v>289</v>
      </c>
      <c r="G18" t="s">
        <v>312</v>
      </c>
      <c r="H18" t="s">
        <v>313</v>
      </c>
      <c r="I18" t="s">
        <v>314</v>
      </c>
      <c r="J18">
        <v>44</v>
      </c>
      <c r="K18">
        <v>12</v>
      </c>
      <c r="L18">
        <v>0</v>
      </c>
    </row>
    <row r="19" spans="1:12" x14ac:dyDescent="0.25">
      <c r="A19" t="s">
        <v>315</v>
      </c>
      <c r="B19" t="s">
        <v>316</v>
      </c>
      <c r="C19" t="s">
        <v>78</v>
      </c>
      <c r="D19" t="s">
        <v>198</v>
      </c>
      <c r="E19" t="s">
        <v>288</v>
      </c>
      <c r="F19" t="s">
        <v>289</v>
      </c>
      <c r="G19" t="s">
        <v>312</v>
      </c>
      <c r="H19" t="s">
        <v>313</v>
      </c>
      <c r="I19" t="s">
        <v>314</v>
      </c>
      <c r="J19">
        <v>22</v>
      </c>
      <c r="K19">
        <v>12</v>
      </c>
      <c r="L19">
        <v>0</v>
      </c>
    </row>
    <row r="20" spans="1:12" x14ac:dyDescent="0.25">
      <c r="A20" t="s">
        <v>226</v>
      </c>
      <c r="B20" t="s">
        <v>227</v>
      </c>
      <c r="C20" t="s">
        <v>78</v>
      </c>
      <c r="D20" t="s">
        <v>198</v>
      </c>
      <c r="E20" t="s">
        <v>288</v>
      </c>
      <c r="F20" t="s">
        <v>289</v>
      </c>
      <c r="G20" t="s">
        <v>317</v>
      </c>
      <c r="H20" t="s">
        <v>318</v>
      </c>
      <c r="I20" t="s">
        <v>319</v>
      </c>
      <c r="J20">
        <v>44</v>
      </c>
      <c r="K20">
        <v>24</v>
      </c>
      <c r="L20">
        <v>106488</v>
      </c>
    </row>
    <row r="21" spans="1:12" x14ac:dyDescent="0.25">
      <c r="A21" t="s">
        <v>228</v>
      </c>
      <c r="B21" t="s">
        <v>229</v>
      </c>
      <c r="C21" t="s">
        <v>78</v>
      </c>
      <c r="D21" t="s">
        <v>198</v>
      </c>
      <c r="E21" t="s">
        <v>288</v>
      </c>
      <c r="F21" t="s">
        <v>289</v>
      </c>
      <c r="G21" t="s">
        <v>317</v>
      </c>
      <c r="H21" t="s">
        <v>318</v>
      </c>
      <c r="I21" t="s">
        <v>319</v>
      </c>
      <c r="J21">
        <v>44</v>
      </c>
      <c r="K21">
        <v>24</v>
      </c>
      <c r="L21">
        <v>106128</v>
      </c>
    </row>
    <row r="22" spans="1:12" x14ac:dyDescent="0.25">
      <c r="A22" t="s">
        <v>230</v>
      </c>
      <c r="B22" t="s">
        <v>231</v>
      </c>
      <c r="C22" t="s">
        <v>78</v>
      </c>
      <c r="D22" t="s">
        <v>198</v>
      </c>
      <c r="E22" t="s">
        <v>288</v>
      </c>
      <c r="F22" t="s">
        <v>289</v>
      </c>
      <c r="G22" t="s">
        <v>317</v>
      </c>
      <c r="H22" t="s">
        <v>318</v>
      </c>
      <c r="I22" t="s">
        <v>319</v>
      </c>
      <c r="J22">
        <v>44</v>
      </c>
      <c r="K22">
        <v>24</v>
      </c>
      <c r="L22">
        <v>322512</v>
      </c>
    </row>
    <row r="23" spans="1:12" x14ac:dyDescent="0.25">
      <c r="A23" t="s">
        <v>88</v>
      </c>
      <c r="B23" t="s">
        <v>89</v>
      </c>
      <c r="C23" t="s">
        <v>78</v>
      </c>
      <c r="D23" t="s">
        <v>79</v>
      </c>
      <c r="E23" t="s">
        <v>278</v>
      </c>
      <c r="F23" t="s">
        <v>279</v>
      </c>
      <c r="G23" t="s">
        <v>320</v>
      </c>
      <c r="H23" t="s">
        <v>281</v>
      </c>
      <c r="I23" t="s">
        <v>282</v>
      </c>
      <c r="J23">
        <v>44</v>
      </c>
      <c r="K23">
        <v>12</v>
      </c>
      <c r="L23">
        <v>126600</v>
      </c>
    </row>
    <row r="24" spans="1:12" x14ac:dyDescent="0.25">
      <c r="A24" t="s">
        <v>62</v>
      </c>
      <c r="B24" t="s">
        <v>63</v>
      </c>
      <c r="C24" t="s">
        <v>78</v>
      </c>
      <c r="D24" t="s">
        <v>79</v>
      </c>
      <c r="E24" t="s">
        <v>278</v>
      </c>
      <c r="F24" t="s">
        <v>279</v>
      </c>
      <c r="G24" t="s">
        <v>320</v>
      </c>
      <c r="H24" t="s">
        <v>281</v>
      </c>
      <c r="I24" t="s">
        <v>282</v>
      </c>
      <c r="J24">
        <v>44</v>
      </c>
      <c r="K24">
        <v>12</v>
      </c>
      <c r="L24">
        <v>189864</v>
      </c>
    </row>
    <row r="25" spans="1:12" x14ac:dyDescent="0.25">
      <c r="A25" t="s">
        <v>86</v>
      </c>
      <c r="B25" t="s">
        <v>87</v>
      </c>
      <c r="C25" t="s">
        <v>78</v>
      </c>
      <c r="D25" t="s">
        <v>79</v>
      </c>
      <c r="E25" t="s">
        <v>278</v>
      </c>
      <c r="F25" t="s">
        <v>279</v>
      </c>
      <c r="G25" t="s">
        <v>320</v>
      </c>
      <c r="H25" t="s">
        <v>281</v>
      </c>
      <c r="I25" t="s">
        <v>282</v>
      </c>
      <c r="J25">
        <v>44</v>
      </c>
      <c r="K25">
        <v>12</v>
      </c>
      <c r="L25">
        <v>63288</v>
      </c>
    </row>
    <row r="26" spans="1:12" x14ac:dyDescent="0.25">
      <c r="A26" t="s">
        <v>90</v>
      </c>
      <c r="B26" t="s">
        <v>91</v>
      </c>
      <c r="C26" t="s">
        <v>78</v>
      </c>
      <c r="D26" t="s">
        <v>79</v>
      </c>
      <c r="E26" t="s">
        <v>278</v>
      </c>
      <c r="F26" t="s">
        <v>279</v>
      </c>
      <c r="G26" t="s">
        <v>320</v>
      </c>
      <c r="H26" t="s">
        <v>281</v>
      </c>
      <c r="I26" t="s">
        <v>282</v>
      </c>
      <c r="J26">
        <v>44</v>
      </c>
      <c r="K26">
        <v>12</v>
      </c>
      <c r="L26">
        <v>0</v>
      </c>
    </row>
    <row r="27" spans="1:12" x14ac:dyDescent="0.25">
      <c r="A27" t="s">
        <v>168</v>
      </c>
      <c r="B27" t="s">
        <v>169</v>
      </c>
      <c r="C27" t="s">
        <v>78</v>
      </c>
      <c r="D27" t="s">
        <v>79</v>
      </c>
      <c r="E27" t="s">
        <v>321</v>
      </c>
      <c r="F27" t="s">
        <v>307</v>
      </c>
      <c r="G27" t="s">
        <v>321</v>
      </c>
      <c r="H27" t="s">
        <v>322</v>
      </c>
      <c r="I27" t="s">
        <v>323</v>
      </c>
      <c r="J27">
        <v>44</v>
      </c>
      <c r="K27">
        <v>24</v>
      </c>
      <c r="L27">
        <v>0</v>
      </c>
    </row>
    <row r="28" spans="1:12" x14ac:dyDescent="0.25">
      <c r="A28" t="s">
        <v>247</v>
      </c>
      <c r="B28" t="s">
        <v>248</v>
      </c>
      <c r="C28" t="s">
        <v>78</v>
      </c>
      <c r="D28" t="s">
        <v>79</v>
      </c>
      <c r="E28" t="s">
        <v>321</v>
      </c>
      <c r="F28" t="s">
        <v>307</v>
      </c>
      <c r="G28" t="s">
        <v>321</v>
      </c>
      <c r="H28" t="s">
        <v>322</v>
      </c>
      <c r="I28" t="s">
        <v>324</v>
      </c>
      <c r="J28">
        <v>44</v>
      </c>
      <c r="K28">
        <v>36</v>
      </c>
      <c r="L28">
        <v>0</v>
      </c>
    </row>
    <row r="29" spans="1:12" x14ac:dyDescent="0.25">
      <c r="A29" t="s">
        <v>166</v>
      </c>
      <c r="B29" t="s">
        <v>167</v>
      </c>
      <c r="C29" t="s">
        <v>78</v>
      </c>
      <c r="D29" t="s">
        <v>79</v>
      </c>
      <c r="E29" t="s">
        <v>321</v>
      </c>
      <c r="F29" t="s">
        <v>307</v>
      </c>
      <c r="G29" t="s">
        <v>321</v>
      </c>
      <c r="H29" t="s">
        <v>322</v>
      </c>
      <c r="I29" t="s">
        <v>323</v>
      </c>
      <c r="J29">
        <v>44</v>
      </c>
      <c r="K29">
        <v>24</v>
      </c>
      <c r="L29">
        <v>0</v>
      </c>
    </row>
    <row r="30" spans="1:12" x14ac:dyDescent="0.25">
      <c r="A30" t="s">
        <v>164</v>
      </c>
      <c r="B30" t="s">
        <v>165</v>
      </c>
      <c r="C30" t="s">
        <v>78</v>
      </c>
      <c r="D30" t="s">
        <v>79</v>
      </c>
      <c r="E30" t="s">
        <v>321</v>
      </c>
      <c r="F30" t="s">
        <v>307</v>
      </c>
      <c r="G30" t="s">
        <v>321</v>
      </c>
      <c r="H30" t="s">
        <v>322</v>
      </c>
      <c r="I30" t="s">
        <v>324</v>
      </c>
      <c r="J30">
        <v>44</v>
      </c>
      <c r="K30">
        <v>36</v>
      </c>
      <c r="L30">
        <v>0</v>
      </c>
    </row>
    <row r="31" spans="1:12" x14ac:dyDescent="0.25">
      <c r="A31" t="s">
        <v>251</v>
      </c>
      <c r="B31" t="s">
        <v>252</v>
      </c>
      <c r="C31" t="s">
        <v>78</v>
      </c>
      <c r="D31" t="s">
        <v>79</v>
      </c>
      <c r="E31" t="s">
        <v>321</v>
      </c>
      <c r="F31" t="s">
        <v>307</v>
      </c>
      <c r="G31" t="s">
        <v>321</v>
      </c>
      <c r="H31" t="s">
        <v>322</v>
      </c>
      <c r="I31" t="s">
        <v>323</v>
      </c>
      <c r="J31">
        <v>44</v>
      </c>
      <c r="K31">
        <v>24</v>
      </c>
      <c r="L31">
        <v>0</v>
      </c>
    </row>
    <row r="32" spans="1:12" x14ac:dyDescent="0.25">
      <c r="A32" t="s">
        <v>249</v>
      </c>
      <c r="B32" t="s">
        <v>250</v>
      </c>
      <c r="C32" t="s">
        <v>78</v>
      </c>
      <c r="D32" t="s">
        <v>79</v>
      </c>
      <c r="E32" t="s">
        <v>321</v>
      </c>
      <c r="F32" t="s">
        <v>307</v>
      </c>
      <c r="G32" t="s">
        <v>321</v>
      </c>
      <c r="H32" t="s">
        <v>322</v>
      </c>
      <c r="I32" t="s">
        <v>324</v>
      </c>
      <c r="J32">
        <v>44</v>
      </c>
      <c r="K32">
        <v>36</v>
      </c>
      <c r="L32">
        <v>0</v>
      </c>
    </row>
    <row r="33" spans="1:12" x14ac:dyDescent="0.25">
      <c r="A33" t="s">
        <v>325</v>
      </c>
      <c r="B33" t="s">
        <v>326</v>
      </c>
      <c r="C33" t="s">
        <v>78</v>
      </c>
      <c r="D33" t="s">
        <v>79</v>
      </c>
      <c r="E33" t="s">
        <v>321</v>
      </c>
      <c r="F33" t="s">
        <v>307</v>
      </c>
      <c r="G33" t="s">
        <v>321</v>
      </c>
      <c r="H33" t="s">
        <v>322</v>
      </c>
      <c r="I33" t="s">
        <v>323</v>
      </c>
      <c r="J33">
        <v>44</v>
      </c>
      <c r="K33">
        <v>24</v>
      </c>
      <c r="L33">
        <v>0</v>
      </c>
    </row>
    <row r="34" spans="1:12" x14ac:dyDescent="0.25">
      <c r="A34" t="s">
        <v>253</v>
      </c>
      <c r="B34" t="s">
        <v>254</v>
      </c>
      <c r="C34" t="s">
        <v>78</v>
      </c>
      <c r="D34" t="s">
        <v>79</v>
      </c>
      <c r="E34" t="s">
        <v>321</v>
      </c>
      <c r="F34" t="s">
        <v>307</v>
      </c>
      <c r="G34" t="s">
        <v>321</v>
      </c>
      <c r="H34" t="s">
        <v>322</v>
      </c>
      <c r="I34" t="s">
        <v>324</v>
      </c>
      <c r="J34">
        <v>44</v>
      </c>
      <c r="K34">
        <v>36</v>
      </c>
      <c r="L34">
        <v>0</v>
      </c>
    </row>
    <row r="35" spans="1:12" x14ac:dyDescent="0.25">
      <c r="A35" t="s">
        <v>233</v>
      </c>
      <c r="B35" t="s">
        <v>234</v>
      </c>
      <c r="C35" t="s">
        <v>78</v>
      </c>
      <c r="D35" t="s">
        <v>79</v>
      </c>
      <c r="E35" t="s">
        <v>327</v>
      </c>
      <c r="F35" t="s">
        <v>328</v>
      </c>
      <c r="G35" t="s">
        <v>329</v>
      </c>
      <c r="H35" t="s">
        <v>330</v>
      </c>
      <c r="I35" t="s">
        <v>331</v>
      </c>
      <c r="J35">
        <v>44</v>
      </c>
      <c r="K35">
        <v>24</v>
      </c>
      <c r="L35">
        <v>0</v>
      </c>
    </row>
    <row r="36" spans="1:12" x14ac:dyDescent="0.25">
      <c r="A36" t="s">
        <v>64</v>
      </c>
      <c r="B36" t="s">
        <v>65</v>
      </c>
      <c r="C36" t="s">
        <v>78</v>
      </c>
      <c r="D36" t="s">
        <v>79</v>
      </c>
      <c r="E36" t="s">
        <v>327</v>
      </c>
      <c r="F36" t="s">
        <v>328</v>
      </c>
      <c r="G36" t="s">
        <v>329</v>
      </c>
      <c r="H36" t="s">
        <v>330</v>
      </c>
      <c r="I36" t="s">
        <v>331</v>
      </c>
      <c r="J36">
        <v>44</v>
      </c>
      <c r="K36">
        <v>24</v>
      </c>
      <c r="L36">
        <v>59760</v>
      </c>
    </row>
    <row r="37" spans="1:12" x14ac:dyDescent="0.25">
      <c r="A37" t="s">
        <v>66</v>
      </c>
      <c r="B37" t="s">
        <v>67</v>
      </c>
      <c r="C37" t="s">
        <v>78</v>
      </c>
      <c r="D37" t="s">
        <v>79</v>
      </c>
      <c r="E37" t="s">
        <v>327</v>
      </c>
      <c r="F37" t="s">
        <v>328</v>
      </c>
      <c r="G37" t="s">
        <v>329</v>
      </c>
      <c r="H37" t="s">
        <v>330</v>
      </c>
      <c r="I37" t="s">
        <v>331</v>
      </c>
      <c r="J37">
        <v>22</v>
      </c>
      <c r="K37">
        <v>24</v>
      </c>
      <c r="L37">
        <v>39840</v>
      </c>
    </row>
    <row r="38" spans="1:12" x14ac:dyDescent="0.25">
      <c r="A38" t="s">
        <v>140</v>
      </c>
      <c r="B38" t="s">
        <v>141</v>
      </c>
      <c r="C38" t="s">
        <v>78</v>
      </c>
      <c r="D38" t="s">
        <v>79</v>
      </c>
      <c r="E38" t="s">
        <v>332</v>
      </c>
      <c r="F38" t="s">
        <v>333</v>
      </c>
      <c r="G38" t="s">
        <v>334</v>
      </c>
      <c r="H38" t="s">
        <v>335</v>
      </c>
      <c r="I38" t="s">
        <v>336</v>
      </c>
      <c r="J38">
        <v>44</v>
      </c>
      <c r="K38">
        <v>12</v>
      </c>
      <c r="L38">
        <v>0</v>
      </c>
    </row>
    <row r="39" spans="1:12" x14ac:dyDescent="0.25">
      <c r="A39" t="s">
        <v>142</v>
      </c>
      <c r="B39" t="s">
        <v>143</v>
      </c>
      <c r="C39" t="s">
        <v>78</v>
      </c>
      <c r="D39" t="s">
        <v>79</v>
      </c>
      <c r="E39" t="s">
        <v>332</v>
      </c>
      <c r="F39" t="s">
        <v>333</v>
      </c>
      <c r="G39" t="s">
        <v>334</v>
      </c>
      <c r="H39" t="s">
        <v>335</v>
      </c>
      <c r="I39" t="s">
        <v>336</v>
      </c>
      <c r="J39">
        <v>44</v>
      </c>
      <c r="K39">
        <v>12</v>
      </c>
      <c r="L39">
        <v>0</v>
      </c>
    </row>
    <row r="40" spans="1:12" x14ac:dyDescent="0.25">
      <c r="A40" t="s">
        <v>144</v>
      </c>
      <c r="B40" t="s">
        <v>145</v>
      </c>
      <c r="C40" t="s">
        <v>78</v>
      </c>
      <c r="D40" t="s">
        <v>79</v>
      </c>
      <c r="E40" t="s">
        <v>332</v>
      </c>
      <c r="F40" t="s">
        <v>333</v>
      </c>
      <c r="G40" t="s">
        <v>334</v>
      </c>
      <c r="H40" t="s">
        <v>335</v>
      </c>
      <c r="I40" t="s">
        <v>336</v>
      </c>
      <c r="J40">
        <v>44</v>
      </c>
      <c r="K40">
        <v>12</v>
      </c>
      <c r="L40">
        <v>0</v>
      </c>
    </row>
    <row r="41" spans="1:12" x14ac:dyDescent="0.25">
      <c r="A41" t="s">
        <v>241</v>
      </c>
      <c r="B41" t="s">
        <v>242</v>
      </c>
      <c r="C41" t="s">
        <v>78</v>
      </c>
      <c r="D41" t="s">
        <v>79</v>
      </c>
      <c r="E41" t="s">
        <v>332</v>
      </c>
      <c r="F41" t="s">
        <v>333</v>
      </c>
      <c r="G41" t="s">
        <v>334</v>
      </c>
      <c r="H41" t="s">
        <v>335</v>
      </c>
      <c r="I41" t="s">
        <v>336</v>
      </c>
      <c r="J41">
        <v>44</v>
      </c>
      <c r="K41">
        <v>12</v>
      </c>
      <c r="L41">
        <v>0</v>
      </c>
    </row>
    <row r="42" spans="1:12" x14ac:dyDescent="0.25">
      <c r="A42" t="s">
        <v>243</v>
      </c>
      <c r="B42" t="s">
        <v>244</v>
      </c>
      <c r="C42" t="s">
        <v>78</v>
      </c>
      <c r="D42" t="s">
        <v>79</v>
      </c>
      <c r="E42" t="s">
        <v>332</v>
      </c>
      <c r="F42" t="s">
        <v>333</v>
      </c>
      <c r="G42" t="s">
        <v>334</v>
      </c>
      <c r="H42" t="s">
        <v>335</v>
      </c>
      <c r="I42" t="s">
        <v>336</v>
      </c>
      <c r="J42">
        <v>44</v>
      </c>
      <c r="K42">
        <v>12</v>
      </c>
      <c r="L42">
        <v>0</v>
      </c>
    </row>
    <row r="43" spans="1:12" x14ac:dyDescent="0.25">
      <c r="A43" t="s">
        <v>146</v>
      </c>
      <c r="B43" t="s">
        <v>147</v>
      </c>
      <c r="C43" t="s">
        <v>78</v>
      </c>
      <c r="D43" t="s">
        <v>79</v>
      </c>
      <c r="E43" t="s">
        <v>332</v>
      </c>
      <c r="F43" t="s">
        <v>333</v>
      </c>
      <c r="G43" t="s">
        <v>334</v>
      </c>
      <c r="H43" t="s">
        <v>335</v>
      </c>
      <c r="I43" t="s">
        <v>336</v>
      </c>
      <c r="J43">
        <v>44</v>
      </c>
      <c r="K43">
        <v>12</v>
      </c>
      <c r="L43">
        <v>0</v>
      </c>
    </row>
    <row r="44" spans="1:12" x14ac:dyDescent="0.25">
      <c r="A44" t="s">
        <v>245</v>
      </c>
      <c r="B44" t="s">
        <v>246</v>
      </c>
      <c r="C44" t="s">
        <v>78</v>
      </c>
      <c r="D44" t="s">
        <v>79</v>
      </c>
      <c r="E44" t="s">
        <v>332</v>
      </c>
      <c r="F44" t="s">
        <v>333</v>
      </c>
      <c r="G44" t="s">
        <v>334</v>
      </c>
      <c r="H44" t="s">
        <v>335</v>
      </c>
      <c r="I44" t="s">
        <v>336</v>
      </c>
      <c r="J44">
        <v>44</v>
      </c>
      <c r="K44">
        <v>12</v>
      </c>
      <c r="L44">
        <v>0</v>
      </c>
    </row>
    <row r="45" spans="1:12" x14ac:dyDescent="0.25">
      <c r="A45" t="s">
        <v>148</v>
      </c>
      <c r="B45" t="s">
        <v>149</v>
      </c>
      <c r="C45" t="s">
        <v>78</v>
      </c>
      <c r="D45" t="s">
        <v>79</v>
      </c>
      <c r="E45" t="s">
        <v>332</v>
      </c>
      <c r="F45" t="s">
        <v>333</v>
      </c>
      <c r="G45" t="s">
        <v>337</v>
      </c>
      <c r="H45" t="s">
        <v>338</v>
      </c>
      <c r="I45" t="s">
        <v>339</v>
      </c>
      <c r="J45">
        <v>44</v>
      </c>
      <c r="K45">
        <v>12</v>
      </c>
      <c r="L45">
        <v>32280</v>
      </c>
    </row>
    <row r="46" spans="1:12" x14ac:dyDescent="0.25">
      <c r="A46" t="s">
        <v>150</v>
      </c>
      <c r="B46" t="s">
        <v>151</v>
      </c>
      <c r="C46" t="s">
        <v>78</v>
      </c>
      <c r="D46" t="s">
        <v>79</v>
      </c>
      <c r="E46" t="s">
        <v>332</v>
      </c>
      <c r="F46" t="s">
        <v>333</v>
      </c>
      <c r="G46" t="s">
        <v>337</v>
      </c>
      <c r="H46" t="s">
        <v>338</v>
      </c>
      <c r="I46" t="s">
        <v>339</v>
      </c>
      <c r="J46">
        <v>44</v>
      </c>
      <c r="K46">
        <v>12</v>
      </c>
      <c r="L46">
        <v>32280</v>
      </c>
    </row>
    <row r="47" spans="1:12" x14ac:dyDescent="0.25">
      <c r="A47" t="s">
        <v>152</v>
      </c>
      <c r="B47" t="s">
        <v>153</v>
      </c>
      <c r="C47" t="s">
        <v>78</v>
      </c>
      <c r="D47" t="s">
        <v>79</v>
      </c>
      <c r="E47" t="s">
        <v>332</v>
      </c>
      <c r="F47" t="s">
        <v>333</v>
      </c>
      <c r="G47" t="s">
        <v>337</v>
      </c>
      <c r="H47" t="s">
        <v>338</v>
      </c>
      <c r="I47" t="s">
        <v>339</v>
      </c>
      <c r="J47">
        <v>44</v>
      </c>
      <c r="K47">
        <v>12</v>
      </c>
      <c r="L47">
        <v>32280</v>
      </c>
    </row>
    <row r="48" spans="1:12" x14ac:dyDescent="0.25">
      <c r="A48" t="s">
        <v>154</v>
      </c>
      <c r="B48" t="s">
        <v>155</v>
      </c>
      <c r="C48" t="s">
        <v>78</v>
      </c>
      <c r="D48" t="s">
        <v>79</v>
      </c>
      <c r="E48" t="s">
        <v>332</v>
      </c>
      <c r="F48" t="s">
        <v>333</v>
      </c>
      <c r="G48" t="s">
        <v>337</v>
      </c>
      <c r="H48" t="s">
        <v>338</v>
      </c>
      <c r="I48" t="s">
        <v>339</v>
      </c>
      <c r="J48">
        <v>44</v>
      </c>
      <c r="K48">
        <v>12</v>
      </c>
      <c r="L48">
        <v>0</v>
      </c>
    </row>
    <row r="49" spans="1:12" x14ac:dyDescent="0.25">
      <c r="A49" t="s">
        <v>156</v>
      </c>
      <c r="B49" t="s">
        <v>157</v>
      </c>
      <c r="C49" t="s">
        <v>78</v>
      </c>
      <c r="D49" t="s">
        <v>79</v>
      </c>
      <c r="E49" t="s">
        <v>332</v>
      </c>
      <c r="F49" t="s">
        <v>333</v>
      </c>
      <c r="G49" t="s">
        <v>340</v>
      </c>
      <c r="H49" t="s">
        <v>299</v>
      </c>
      <c r="I49" t="s">
        <v>341</v>
      </c>
      <c r="J49">
        <v>15</v>
      </c>
      <c r="K49">
        <v>12</v>
      </c>
      <c r="L49">
        <v>0</v>
      </c>
    </row>
    <row r="50" spans="1:12" x14ac:dyDescent="0.25">
      <c r="A50" t="s">
        <v>158</v>
      </c>
      <c r="B50" t="s">
        <v>159</v>
      </c>
      <c r="C50" t="s">
        <v>78</v>
      </c>
      <c r="D50" t="s">
        <v>79</v>
      </c>
      <c r="E50" t="s">
        <v>332</v>
      </c>
      <c r="F50" t="s">
        <v>333</v>
      </c>
      <c r="G50" t="s">
        <v>340</v>
      </c>
      <c r="H50" t="s">
        <v>299</v>
      </c>
      <c r="I50" t="s">
        <v>341</v>
      </c>
      <c r="J50">
        <v>15</v>
      </c>
      <c r="K50">
        <v>12</v>
      </c>
      <c r="L50">
        <v>0</v>
      </c>
    </row>
    <row r="51" spans="1:12" x14ac:dyDescent="0.25">
      <c r="A51" t="s">
        <v>160</v>
      </c>
      <c r="B51" t="s">
        <v>161</v>
      </c>
      <c r="C51" t="s">
        <v>78</v>
      </c>
      <c r="D51" t="s">
        <v>79</v>
      </c>
      <c r="E51" t="s">
        <v>332</v>
      </c>
      <c r="F51" t="s">
        <v>333</v>
      </c>
      <c r="G51" t="s">
        <v>340</v>
      </c>
      <c r="H51" t="s">
        <v>299</v>
      </c>
      <c r="I51" t="s">
        <v>341</v>
      </c>
      <c r="J51">
        <v>45</v>
      </c>
      <c r="K51">
        <v>12</v>
      </c>
      <c r="L51">
        <v>0</v>
      </c>
    </row>
    <row r="52" spans="1:12" x14ac:dyDescent="0.25">
      <c r="A52" t="s">
        <v>162</v>
      </c>
      <c r="B52" t="s">
        <v>163</v>
      </c>
      <c r="C52" t="s">
        <v>78</v>
      </c>
      <c r="D52" t="s">
        <v>79</v>
      </c>
      <c r="E52" t="s">
        <v>332</v>
      </c>
      <c r="F52" t="s">
        <v>333</v>
      </c>
      <c r="G52" t="s">
        <v>340</v>
      </c>
      <c r="H52" t="s">
        <v>299</v>
      </c>
      <c r="I52" t="s">
        <v>341</v>
      </c>
      <c r="J52">
        <v>15</v>
      </c>
      <c r="K52">
        <v>12</v>
      </c>
      <c r="L52">
        <v>0</v>
      </c>
    </row>
    <row r="53" spans="1:12" x14ac:dyDescent="0.25">
      <c r="A53" t="s">
        <v>342</v>
      </c>
      <c r="B53" t="s">
        <v>343</v>
      </c>
      <c r="C53" t="s">
        <v>78</v>
      </c>
      <c r="D53" t="s">
        <v>79</v>
      </c>
      <c r="E53" t="s">
        <v>332</v>
      </c>
      <c r="F53" t="s">
        <v>333</v>
      </c>
      <c r="G53" t="s">
        <v>340</v>
      </c>
      <c r="H53" t="s">
        <v>299</v>
      </c>
      <c r="I53" t="s">
        <v>341</v>
      </c>
      <c r="J53">
        <v>45</v>
      </c>
      <c r="K53">
        <v>12</v>
      </c>
      <c r="L53">
        <v>0</v>
      </c>
    </row>
    <row r="54" spans="1:12" x14ac:dyDescent="0.25">
      <c r="A54" t="s">
        <v>344</v>
      </c>
      <c r="B54" t="s">
        <v>345</v>
      </c>
      <c r="C54" t="s">
        <v>78</v>
      </c>
      <c r="D54" t="s">
        <v>79</v>
      </c>
      <c r="E54" t="s">
        <v>332</v>
      </c>
      <c r="F54" t="s">
        <v>333</v>
      </c>
      <c r="G54" t="s">
        <v>346</v>
      </c>
      <c r="H54" t="s">
        <v>299</v>
      </c>
      <c r="I54" t="s">
        <v>341</v>
      </c>
      <c r="J54">
        <v>15</v>
      </c>
      <c r="K54">
        <v>12</v>
      </c>
      <c r="L54">
        <v>0</v>
      </c>
    </row>
    <row r="55" spans="1:12" x14ac:dyDescent="0.25">
      <c r="A55" t="s">
        <v>347</v>
      </c>
      <c r="B55" t="s">
        <v>348</v>
      </c>
      <c r="C55" t="s">
        <v>78</v>
      </c>
      <c r="D55" t="s">
        <v>198</v>
      </c>
      <c r="E55" t="s">
        <v>349</v>
      </c>
      <c r="F55" t="s">
        <v>307</v>
      </c>
      <c r="G55" t="s">
        <v>350</v>
      </c>
      <c r="H55" t="s">
        <v>302</v>
      </c>
      <c r="I55" t="s">
        <v>351</v>
      </c>
      <c r="J55">
        <v>44</v>
      </c>
      <c r="K55">
        <v>8</v>
      </c>
      <c r="L55">
        <v>0</v>
      </c>
    </row>
    <row r="56" spans="1:12" x14ac:dyDescent="0.25">
      <c r="A56" t="s">
        <v>192</v>
      </c>
      <c r="B56" t="s">
        <v>193</v>
      </c>
      <c r="C56" t="s">
        <v>78</v>
      </c>
      <c r="D56" t="s">
        <v>79</v>
      </c>
      <c r="E56" t="s">
        <v>349</v>
      </c>
      <c r="F56" t="s">
        <v>307</v>
      </c>
      <c r="G56" t="s">
        <v>352</v>
      </c>
      <c r="H56" t="s">
        <v>353</v>
      </c>
      <c r="I56" t="s">
        <v>354</v>
      </c>
      <c r="J56">
        <v>44</v>
      </c>
      <c r="K56">
        <v>24</v>
      </c>
      <c r="L56">
        <v>0</v>
      </c>
    </row>
    <row r="57" spans="1:12" x14ac:dyDescent="0.25">
      <c r="A57" t="s">
        <v>194</v>
      </c>
      <c r="B57" t="s">
        <v>195</v>
      </c>
      <c r="C57" t="s">
        <v>78</v>
      </c>
      <c r="D57" t="s">
        <v>79</v>
      </c>
      <c r="E57" t="s">
        <v>349</v>
      </c>
      <c r="F57" t="s">
        <v>307</v>
      </c>
      <c r="G57" t="s">
        <v>352</v>
      </c>
      <c r="H57" t="s">
        <v>353</v>
      </c>
      <c r="I57" t="s">
        <v>354</v>
      </c>
      <c r="J57">
        <v>44</v>
      </c>
      <c r="K57">
        <v>24</v>
      </c>
      <c r="L57">
        <v>0</v>
      </c>
    </row>
    <row r="58" spans="1:12" x14ac:dyDescent="0.25">
      <c r="A58" t="s">
        <v>190</v>
      </c>
      <c r="B58" t="s">
        <v>191</v>
      </c>
      <c r="C58" t="s">
        <v>78</v>
      </c>
      <c r="D58" t="s">
        <v>79</v>
      </c>
      <c r="E58" t="s">
        <v>349</v>
      </c>
      <c r="F58" t="s">
        <v>307</v>
      </c>
      <c r="G58" t="s">
        <v>352</v>
      </c>
      <c r="H58" t="s">
        <v>353</v>
      </c>
      <c r="I58" t="s">
        <v>354</v>
      </c>
      <c r="J58">
        <v>44</v>
      </c>
      <c r="K58">
        <v>24</v>
      </c>
      <c r="L58">
        <v>0</v>
      </c>
    </row>
    <row r="59" spans="1:12" x14ac:dyDescent="0.25">
      <c r="A59" t="s">
        <v>34</v>
      </c>
      <c r="B59" t="s">
        <v>35</v>
      </c>
      <c r="C59" t="s">
        <v>78</v>
      </c>
      <c r="D59" t="s">
        <v>79</v>
      </c>
      <c r="E59" t="s">
        <v>349</v>
      </c>
      <c r="F59" t="s">
        <v>307</v>
      </c>
      <c r="G59" t="s">
        <v>352</v>
      </c>
      <c r="H59" t="s">
        <v>353</v>
      </c>
      <c r="I59" t="s">
        <v>354</v>
      </c>
      <c r="J59">
        <v>44</v>
      </c>
      <c r="K59">
        <v>24</v>
      </c>
      <c r="L59">
        <v>431784</v>
      </c>
    </row>
    <row r="60" spans="1:12" x14ac:dyDescent="0.25">
      <c r="A60" t="s">
        <v>94</v>
      </c>
      <c r="B60" t="s">
        <v>95</v>
      </c>
      <c r="C60" t="s">
        <v>78</v>
      </c>
      <c r="D60" t="s">
        <v>79</v>
      </c>
      <c r="E60" t="s">
        <v>349</v>
      </c>
      <c r="F60" t="s">
        <v>307</v>
      </c>
      <c r="G60" t="s">
        <v>352</v>
      </c>
      <c r="H60" t="s">
        <v>353</v>
      </c>
      <c r="I60" t="s">
        <v>354</v>
      </c>
      <c r="J60">
        <v>44</v>
      </c>
      <c r="K60">
        <v>24</v>
      </c>
      <c r="L60">
        <v>0</v>
      </c>
    </row>
    <row r="61" spans="1:12" x14ac:dyDescent="0.25">
      <c r="A61" t="s">
        <v>98</v>
      </c>
      <c r="B61" t="s">
        <v>99</v>
      </c>
      <c r="C61" t="s">
        <v>78</v>
      </c>
      <c r="D61" t="s">
        <v>79</v>
      </c>
      <c r="E61" t="s">
        <v>349</v>
      </c>
      <c r="F61" t="s">
        <v>307</v>
      </c>
      <c r="G61" t="s">
        <v>352</v>
      </c>
      <c r="H61" t="s">
        <v>353</v>
      </c>
      <c r="I61" t="s">
        <v>354</v>
      </c>
      <c r="J61">
        <v>44</v>
      </c>
      <c r="K61">
        <v>24</v>
      </c>
      <c r="L61">
        <v>287856</v>
      </c>
    </row>
    <row r="62" spans="1:12" x14ac:dyDescent="0.25">
      <c r="A62" t="s">
        <v>100</v>
      </c>
      <c r="B62" t="s">
        <v>101</v>
      </c>
      <c r="C62" t="s">
        <v>78</v>
      </c>
      <c r="D62" t="s">
        <v>79</v>
      </c>
      <c r="E62" t="s">
        <v>349</v>
      </c>
      <c r="F62" t="s">
        <v>307</v>
      </c>
      <c r="G62" t="s">
        <v>352</v>
      </c>
      <c r="H62" t="s">
        <v>353</v>
      </c>
      <c r="I62" t="s">
        <v>354</v>
      </c>
      <c r="J62">
        <v>44</v>
      </c>
      <c r="K62">
        <v>24</v>
      </c>
      <c r="L62">
        <v>0</v>
      </c>
    </row>
    <row r="63" spans="1:12" x14ac:dyDescent="0.25">
      <c r="A63" t="s">
        <v>102</v>
      </c>
      <c r="B63" t="s">
        <v>103</v>
      </c>
      <c r="C63" t="s">
        <v>78</v>
      </c>
      <c r="D63" t="s">
        <v>79</v>
      </c>
      <c r="E63" t="s">
        <v>349</v>
      </c>
      <c r="F63" t="s">
        <v>307</v>
      </c>
      <c r="G63" t="s">
        <v>352</v>
      </c>
      <c r="H63" t="s">
        <v>353</v>
      </c>
      <c r="I63" t="s">
        <v>354</v>
      </c>
      <c r="J63">
        <v>44</v>
      </c>
      <c r="K63">
        <v>24</v>
      </c>
      <c r="L63">
        <v>0</v>
      </c>
    </row>
    <row r="64" spans="1:12" x14ac:dyDescent="0.25">
      <c r="A64" t="s">
        <v>355</v>
      </c>
      <c r="B64" t="s">
        <v>356</v>
      </c>
      <c r="C64" t="s">
        <v>78</v>
      </c>
      <c r="D64" t="s">
        <v>79</v>
      </c>
      <c r="E64" t="s">
        <v>349</v>
      </c>
      <c r="F64" t="s">
        <v>307</v>
      </c>
      <c r="G64" t="s">
        <v>352</v>
      </c>
      <c r="H64" t="s">
        <v>353</v>
      </c>
      <c r="I64" t="s">
        <v>354</v>
      </c>
      <c r="J64">
        <v>44</v>
      </c>
      <c r="K64">
        <v>24</v>
      </c>
      <c r="L64">
        <v>0</v>
      </c>
    </row>
    <row r="65" spans="1:12" x14ac:dyDescent="0.25">
      <c r="A65" t="s">
        <v>50</v>
      </c>
      <c r="B65" t="s">
        <v>51</v>
      </c>
      <c r="C65" t="s">
        <v>78</v>
      </c>
      <c r="D65" t="s">
        <v>79</v>
      </c>
      <c r="E65" t="s">
        <v>349</v>
      </c>
      <c r="F65" t="s">
        <v>307</v>
      </c>
      <c r="G65" t="s">
        <v>357</v>
      </c>
      <c r="H65" t="s">
        <v>338</v>
      </c>
      <c r="I65" t="s">
        <v>358</v>
      </c>
      <c r="J65">
        <v>44</v>
      </c>
      <c r="K65">
        <v>12</v>
      </c>
      <c r="L65">
        <v>23988</v>
      </c>
    </row>
    <row r="66" spans="1:12" x14ac:dyDescent="0.25">
      <c r="A66" t="s">
        <v>359</v>
      </c>
      <c r="B66" t="s">
        <v>360</v>
      </c>
      <c r="C66" t="s">
        <v>78</v>
      </c>
      <c r="D66" t="s">
        <v>79</v>
      </c>
      <c r="E66" t="s">
        <v>349</v>
      </c>
      <c r="F66" t="s">
        <v>307</v>
      </c>
      <c r="G66" t="s">
        <v>357</v>
      </c>
      <c r="H66" t="s">
        <v>338</v>
      </c>
      <c r="I66" t="s">
        <v>358</v>
      </c>
      <c r="J66">
        <v>44</v>
      </c>
      <c r="K66">
        <v>12</v>
      </c>
      <c r="L66">
        <v>23988</v>
      </c>
    </row>
    <row r="67" spans="1:12" x14ac:dyDescent="0.25">
      <c r="A67" t="s">
        <v>104</v>
      </c>
      <c r="B67" t="s">
        <v>105</v>
      </c>
      <c r="C67" t="s">
        <v>78</v>
      </c>
      <c r="D67" t="s">
        <v>79</v>
      </c>
      <c r="E67" t="s">
        <v>349</v>
      </c>
      <c r="F67" t="s">
        <v>307</v>
      </c>
      <c r="G67" t="s">
        <v>357</v>
      </c>
      <c r="H67" t="s">
        <v>338</v>
      </c>
      <c r="I67" t="s">
        <v>358</v>
      </c>
      <c r="J67">
        <v>44</v>
      </c>
      <c r="K67">
        <v>12</v>
      </c>
      <c r="L67">
        <v>0</v>
      </c>
    </row>
    <row r="68" spans="1:12" x14ac:dyDescent="0.25">
      <c r="A68" t="s">
        <v>30</v>
      </c>
      <c r="B68" t="s">
        <v>31</v>
      </c>
      <c r="C68" t="s">
        <v>78</v>
      </c>
      <c r="D68" t="s">
        <v>79</v>
      </c>
      <c r="E68" t="s">
        <v>349</v>
      </c>
      <c r="F68" t="s">
        <v>307</v>
      </c>
      <c r="G68" t="s">
        <v>357</v>
      </c>
      <c r="H68" t="s">
        <v>338</v>
      </c>
      <c r="I68" t="s">
        <v>358</v>
      </c>
      <c r="J68">
        <v>44</v>
      </c>
      <c r="K68">
        <v>12</v>
      </c>
      <c r="L68">
        <v>0</v>
      </c>
    </row>
    <row r="69" spans="1:12" x14ac:dyDescent="0.25">
      <c r="A69" t="s">
        <v>170</v>
      </c>
      <c r="B69" t="s">
        <v>171</v>
      </c>
      <c r="C69" t="s">
        <v>78</v>
      </c>
      <c r="D69" t="s">
        <v>79</v>
      </c>
      <c r="E69" t="s">
        <v>349</v>
      </c>
      <c r="F69" t="s">
        <v>307</v>
      </c>
      <c r="G69" t="s">
        <v>357</v>
      </c>
      <c r="H69" t="s">
        <v>338</v>
      </c>
      <c r="I69" t="s">
        <v>358</v>
      </c>
      <c r="J69">
        <v>44</v>
      </c>
      <c r="K69">
        <v>12</v>
      </c>
      <c r="L69">
        <v>0</v>
      </c>
    </row>
    <row r="70" spans="1:12" x14ac:dyDescent="0.25">
      <c r="A70" t="s">
        <v>235</v>
      </c>
      <c r="B70" t="s">
        <v>236</v>
      </c>
      <c r="C70" t="s">
        <v>78</v>
      </c>
      <c r="D70" t="s">
        <v>79</v>
      </c>
      <c r="E70" t="s">
        <v>349</v>
      </c>
      <c r="F70" t="s">
        <v>307</v>
      </c>
      <c r="G70" t="s">
        <v>357</v>
      </c>
      <c r="H70" t="s">
        <v>338</v>
      </c>
      <c r="I70" t="s">
        <v>358</v>
      </c>
      <c r="J70">
        <v>44</v>
      </c>
      <c r="K70">
        <v>12</v>
      </c>
      <c r="L70">
        <v>0</v>
      </c>
    </row>
    <row r="71" spans="1:12" x14ac:dyDescent="0.25">
      <c r="A71" t="s">
        <v>96</v>
      </c>
      <c r="B71" t="s">
        <v>97</v>
      </c>
      <c r="C71" t="s">
        <v>78</v>
      </c>
      <c r="D71" t="s">
        <v>79</v>
      </c>
      <c r="E71" t="s">
        <v>349</v>
      </c>
      <c r="F71" t="s">
        <v>307</v>
      </c>
      <c r="G71" t="s">
        <v>357</v>
      </c>
      <c r="H71" t="s">
        <v>338</v>
      </c>
      <c r="I71" t="s">
        <v>358</v>
      </c>
      <c r="J71">
        <v>44</v>
      </c>
      <c r="K71">
        <v>6</v>
      </c>
      <c r="L71">
        <v>0</v>
      </c>
    </row>
    <row r="72" spans="1:12" x14ac:dyDescent="0.25">
      <c r="A72" t="s">
        <v>106</v>
      </c>
      <c r="B72" t="s">
        <v>107</v>
      </c>
      <c r="C72" t="s">
        <v>78</v>
      </c>
      <c r="D72" t="s">
        <v>79</v>
      </c>
      <c r="E72" t="s">
        <v>349</v>
      </c>
      <c r="F72" t="s">
        <v>307</v>
      </c>
      <c r="G72" t="s">
        <v>357</v>
      </c>
      <c r="H72" t="s">
        <v>338</v>
      </c>
      <c r="I72" t="s">
        <v>358</v>
      </c>
      <c r="J72">
        <v>44</v>
      </c>
      <c r="K72">
        <v>6</v>
      </c>
      <c r="L72">
        <v>0</v>
      </c>
    </row>
    <row r="73" spans="1:12" x14ac:dyDescent="0.25">
      <c r="A73" t="s">
        <v>361</v>
      </c>
      <c r="B73" t="s">
        <v>362</v>
      </c>
      <c r="C73" t="s">
        <v>78</v>
      </c>
      <c r="D73" t="s">
        <v>79</v>
      </c>
      <c r="E73" t="s">
        <v>349</v>
      </c>
      <c r="F73" t="s">
        <v>307</v>
      </c>
      <c r="G73" t="s">
        <v>357</v>
      </c>
      <c r="H73" t="s">
        <v>338</v>
      </c>
      <c r="I73" t="s">
        <v>358</v>
      </c>
      <c r="J73">
        <v>44</v>
      </c>
      <c r="K73">
        <v>6</v>
      </c>
      <c r="L73">
        <v>0</v>
      </c>
    </row>
    <row r="74" spans="1:12" x14ac:dyDescent="0.25">
      <c r="A74" t="s">
        <v>172</v>
      </c>
      <c r="B74" t="s">
        <v>173</v>
      </c>
      <c r="C74" t="s">
        <v>78</v>
      </c>
      <c r="D74" t="s">
        <v>79</v>
      </c>
      <c r="E74" t="s">
        <v>349</v>
      </c>
      <c r="F74" t="s">
        <v>307</v>
      </c>
      <c r="G74" t="s">
        <v>357</v>
      </c>
      <c r="H74" t="s">
        <v>338</v>
      </c>
      <c r="I74" t="s">
        <v>358</v>
      </c>
      <c r="J74">
        <v>44</v>
      </c>
      <c r="K74">
        <v>6</v>
      </c>
      <c r="L74">
        <v>0</v>
      </c>
    </row>
    <row r="75" spans="1:12" x14ac:dyDescent="0.25">
      <c r="A75" t="s">
        <v>174</v>
      </c>
      <c r="B75" t="s">
        <v>175</v>
      </c>
      <c r="C75" t="s">
        <v>78</v>
      </c>
      <c r="D75" t="s">
        <v>79</v>
      </c>
      <c r="E75" t="s">
        <v>363</v>
      </c>
      <c r="F75" t="s">
        <v>328</v>
      </c>
      <c r="G75" t="s">
        <v>363</v>
      </c>
      <c r="H75" t="s">
        <v>353</v>
      </c>
      <c r="I75" t="s">
        <v>364</v>
      </c>
      <c r="J75">
        <v>44</v>
      </c>
      <c r="K75">
        <v>24</v>
      </c>
      <c r="L75">
        <v>153792</v>
      </c>
    </row>
    <row r="76" spans="1:12" x14ac:dyDescent="0.25">
      <c r="A76" t="s">
        <v>176</v>
      </c>
      <c r="B76" t="s">
        <v>177</v>
      </c>
      <c r="C76" t="s">
        <v>78</v>
      </c>
      <c r="D76" t="s">
        <v>79</v>
      </c>
      <c r="E76" t="s">
        <v>363</v>
      </c>
      <c r="F76" t="s">
        <v>328</v>
      </c>
      <c r="G76" t="s">
        <v>363</v>
      </c>
      <c r="H76" t="s">
        <v>353</v>
      </c>
      <c r="I76" t="s">
        <v>364</v>
      </c>
      <c r="J76">
        <v>44</v>
      </c>
      <c r="K76">
        <v>24</v>
      </c>
      <c r="L76">
        <v>307584</v>
      </c>
    </row>
    <row r="77" spans="1:12" x14ac:dyDescent="0.25">
      <c r="A77" t="s">
        <v>178</v>
      </c>
      <c r="B77" t="s">
        <v>179</v>
      </c>
      <c r="C77" t="s">
        <v>78</v>
      </c>
      <c r="D77" t="s">
        <v>79</v>
      </c>
      <c r="E77" t="s">
        <v>363</v>
      </c>
      <c r="F77" t="s">
        <v>328</v>
      </c>
      <c r="G77" t="s">
        <v>363</v>
      </c>
      <c r="H77" t="s">
        <v>353</v>
      </c>
      <c r="I77" t="s">
        <v>364</v>
      </c>
      <c r="J77">
        <v>44</v>
      </c>
      <c r="K77">
        <v>24</v>
      </c>
      <c r="L77">
        <v>76896</v>
      </c>
    </row>
    <row r="78" spans="1:12" x14ac:dyDescent="0.25">
      <c r="A78" t="s">
        <v>180</v>
      </c>
      <c r="B78" t="s">
        <v>181</v>
      </c>
      <c r="C78" t="s">
        <v>78</v>
      </c>
      <c r="D78" t="s">
        <v>79</v>
      </c>
      <c r="E78" t="s">
        <v>363</v>
      </c>
      <c r="F78" t="s">
        <v>328</v>
      </c>
      <c r="G78" t="s">
        <v>363</v>
      </c>
      <c r="H78" t="s">
        <v>353</v>
      </c>
      <c r="I78" t="s">
        <v>364</v>
      </c>
      <c r="J78">
        <v>44</v>
      </c>
      <c r="K78">
        <v>24</v>
      </c>
      <c r="L78">
        <v>115344</v>
      </c>
    </row>
    <row r="79" spans="1:12" x14ac:dyDescent="0.25">
      <c r="A79" t="s">
        <v>203</v>
      </c>
      <c r="B79" t="s">
        <v>204</v>
      </c>
      <c r="C79" t="s">
        <v>78</v>
      </c>
      <c r="D79" t="s">
        <v>198</v>
      </c>
      <c r="E79" t="s">
        <v>363</v>
      </c>
      <c r="F79" t="s">
        <v>328</v>
      </c>
      <c r="G79" t="s">
        <v>363</v>
      </c>
      <c r="H79" t="s">
        <v>365</v>
      </c>
      <c r="I79" t="s">
        <v>366</v>
      </c>
      <c r="J79">
        <v>90</v>
      </c>
      <c r="K79">
        <v>12</v>
      </c>
      <c r="L79">
        <v>0</v>
      </c>
    </row>
    <row r="80" spans="1:12" x14ac:dyDescent="0.25">
      <c r="A80" t="s">
        <v>199</v>
      </c>
      <c r="B80" t="s">
        <v>200</v>
      </c>
      <c r="C80" t="s">
        <v>78</v>
      </c>
      <c r="D80" t="s">
        <v>198</v>
      </c>
      <c r="E80" t="s">
        <v>363</v>
      </c>
      <c r="F80" t="s">
        <v>328</v>
      </c>
      <c r="G80" t="s">
        <v>363</v>
      </c>
      <c r="H80" t="s">
        <v>365</v>
      </c>
      <c r="I80" t="s">
        <v>366</v>
      </c>
      <c r="J80">
        <v>90</v>
      </c>
      <c r="K80">
        <v>12</v>
      </c>
      <c r="L80">
        <v>0</v>
      </c>
    </row>
    <row r="81" spans="1:12" x14ac:dyDescent="0.25">
      <c r="A81" t="s">
        <v>201</v>
      </c>
      <c r="B81" t="s">
        <v>202</v>
      </c>
      <c r="C81" t="s">
        <v>78</v>
      </c>
      <c r="D81" t="s">
        <v>198</v>
      </c>
      <c r="E81" t="s">
        <v>363</v>
      </c>
      <c r="F81" t="s">
        <v>328</v>
      </c>
      <c r="G81" t="s">
        <v>363</v>
      </c>
      <c r="H81" t="s">
        <v>365</v>
      </c>
      <c r="I81" t="s">
        <v>367</v>
      </c>
      <c r="J81">
        <v>90</v>
      </c>
      <c r="K81">
        <v>6</v>
      </c>
      <c r="L81">
        <v>0</v>
      </c>
    </row>
    <row r="82" spans="1:12" x14ac:dyDescent="0.25">
      <c r="A82" t="s">
        <v>196</v>
      </c>
      <c r="B82" t="s">
        <v>197</v>
      </c>
      <c r="C82" t="s">
        <v>78</v>
      </c>
      <c r="D82" t="s">
        <v>198</v>
      </c>
      <c r="E82" t="s">
        <v>363</v>
      </c>
      <c r="F82" t="s">
        <v>328</v>
      </c>
      <c r="G82" t="s">
        <v>363</v>
      </c>
      <c r="H82" t="s">
        <v>365</v>
      </c>
      <c r="I82" t="s">
        <v>367</v>
      </c>
      <c r="J82">
        <v>90</v>
      </c>
      <c r="K82">
        <v>6</v>
      </c>
      <c r="L82">
        <v>0</v>
      </c>
    </row>
    <row r="83" spans="1:12" x14ac:dyDescent="0.25">
      <c r="A83" t="s">
        <v>239</v>
      </c>
      <c r="B83" s="35" t="s">
        <v>240</v>
      </c>
      <c r="C83" t="s">
        <v>78</v>
      </c>
      <c r="D83" t="s">
        <v>79</v>
      </c>
      <c r="E83" t="s">
        <v>332</v>
      </c>
      <c r="F83" t="s">
        <v>333</v>
      </c>
      <c r="G83" t="s">
        <v>368</v>
      </c>
      <c r="H83" t="s">
        <v>369</v>
      </c>
      <c r="I83" t="s">
        <v>370</v>
      </c>
      <c r="J83">
        <v>44</v>
      </c>
      <c r="K83">
        <v>12</v>
      </c>
      <c r="L83">
        <v>432000</v>
      </c>
    </row>
    <row r="84" spans="1:12" x14ac:dyDescent="0.25">
      <c r="A84" t="s">
        <v>128</v>
      </c>
      <c r="B84" s="35" t="s">
        <v>129</v>
      </c>
      <c r="C84" t="s">
        <v>78</v>
      </c>
      <c r="D84" t="s">
        <v>79</v>
      </c>
      <c r="E84" t="s">
        <v>332</v>
      </c>
      <c r="F84" t="s">
        <v>333</v>
      </c>
      <c r="G84" t="s">
        <v>368</v>
      </c>
      <c r="H84" t="s">
        <v>369</v>
      </c>
      <c r="I84" t="s">
        <v>370</v>
      </c>
      <c r="J84">
        <v>44</v>
      </c>
      <c r="K84">
        <v>12</v>
      </c>
      <c r="L84">
        <v>143820</v>
      </c>
    </row>
    <row r="85" spans="1:12" x14ac:dyDescent="0.25">
      <c r="A85" t="s">
        <v>130</v>
      </c>
      <c r="B85" s="35" t="s">
        <v>131</v>
      </c>
      <c r="C85" t="s">
        <v>78</v>
      </c>
      <c r="D85" t="s">
        <v>79</v>
      </c>
      <c r="E85" t="s">
        <v>332</v>
      </c>
      <c r="F85" t="s">
        <v>333</v>
      </c>
      <c r="G85" t="s">
        <v>368</v>
      </c>
      <c r="H85" t="s">
        <v>369</v>
      </c>
      <c r="I85" t="s">
        <v>370</v>
      </c>
      <c r="J85">
        <v>44</v>
      </c>
      <c r="K85">
        <v>12</v>
      </c>
      <c r="L85">
        <v>202524</v>
      </c>
    </row>
    <row r="86" spans="1:12" x14ac:dyDescent="0.25">
      <c r="A86" t="s">
        <v>132</v>
      </c>
      <c r="B86" s="35" t="s">
        <v>133</v>
      </c>
      <c r="C86" t="s">
        <v>78</v>
      </c>
      <c r="D86" t="s">
        <v>79</v>
      </c>
      <c r="E86" t="s">
        <v>332</v>
      </c>
      <c r="F86" t="s">
        <v>333</v>
      </c>
      <c r="G86" t="s">
        <v>368</v>
      </c>
      <c r="H86" t="s">
        <v>369</v>
      </c>
      <c r="I86" t="s">
        <v>370</v>
      </c>
      <c r="J86">
        <v>44</v>
      </c>
      <c r="K86">
        <v>12</v>
      </c>
      <c r="L86">
        <v>201180</v>
      </c>
    </row>
    <row r="87" spans="1:12" x14ac:dyDescent="0.25">
      <c r="A87" t="s">
        <v>134</v>
      </c>
      <c r="B87" s="35" t="s">
        <v>135</v>
      </c>
      <c r="C87" t="s">
        <v>78</v>
      </c>
      <c r="D87" t="s">
        <v>79</v>
      </c>
      <c r="E87" t="s">
        <v>332</v>
      </c>
      <c r="F87" t="s">
        <v>333</v>
      </c>
      <c r="G87" t="s">
        <v>368</v>
      </c>
      <c r="H87" t="s">
        <v>369</v>
      </c>
      <c r="I87" t="s">
        <v>370</v>
      </c>
      <c r="J87">
        <v>44</v>
      </c>
      <c r="K87">
        <v>12</v>
      </c>
      <c r="L87">
        <v>0</v>
      </c>
    </row>
    <row r="88" spans="1:12" x14ac:dyDescent="0.25">
      <c r="A88" t="s">
        <v>136</v>
      </c>
      <c r="B88" t="s">
        <v>137</v>
      </c>
      <c r="C88" t="s">
        <v>78</v>
      </c>
      <c r="D88" t="s">
        <v>79</v>
      </c>
      <c r="E88" t="s">
        <v>332</v>
      </c>
      <c r="F88" t="s">
        <v>333</v>
      </c>
      <c r="G88" t="s">
        <v>368</v>
      </c>
      <c r="H88" t="s">
        <v>369</v>
      </c>
      <c r="I88" t="s">
        <v>370</v>
      </c>
      <c r="J88">
        <v>44</v>
      </c>
      <c r="K88">
        <v>12</v>
      </c>
      <c r="L88">
        <v>0</v>
      </c>
    </row>
    <row r="89" spans="1:12" x14ac:dyDescent="0.25">
      <c r="A89" t="s">
        <v>138</v>
      </c>
      <c r="B89" s="35" t="s">
        <v>139</v>
      </c>
      <c r="C89" t="s">
        <v>78</v>
      </c>
      <c r="D89" t="s">
        <v>79</v>
      </c>
      <c r="E89" t="s">
        <v>332</v>
      </c>
      <c r="F89" t="s">
        <v>333</v>
      </c>
      <c r="G89" t="s">
        <v>368</v>
      </c>
      <c r="H89" t="s">
        <v>369</v>
      </c>
      <c r="I89" t="s">
        <v>370</v>
      </c>
      <c r="J89">
        <v>44</v>
      </c>
      <c r="K89">
        <v>12</v>
      </c>
      <c r="L89">
        <v>0</v>
      </c>
    </row>
    <row r="90" spans="1:12" x14ac:dyDescent="0.25">
      <c r="A90" t="s">
        <v>371</v>
      </c>
      <c r="B90" t="s">
        <v>372</v>
      </c>
      <c r="C90" t="s">
        <v>78</v>
      </c>
      <c r="D90" t="s">
        <v>79</v>
      </c>
      <c r="E90" t="s">
        <v>373</v>
      </c>
      <c r="F90" t="s">
        <v>333</v>
      </c>
      <c r="G90" t="s">
        <v>368</v>
      </c>
      <c r="H90" t="s">
        <v>369</v>
      </c>
      <c r="I90" t="s">
        <v>374</v>
      </c>
      <c r="J90">
        <v>22</v>
      </c>
      <c r="K90">
        <v>12</v>
      </c>
      <c r="L90">
        <v>47496</v>
      </c>
    </row>
    <row r="91" spans="1:12" x14ac:dyDescent="0.25">
      <c r="A91" t="s">
        <v>375</v>
      </c>
      <c r="B91" t="s">
        <v>376</v>
      </c>
      <c r="C91" t="s">
        <v>78</v>
      </c>
      <c r="D91" t="s">
        <v>79</v>
      </c>
      <c r="E91" t="s">
        <v>373</v>
      </c>
      <c r="F91" t="s">
        <v>333</v>
      </c>
      <c r="G91" t="s">
        <v>368</v>
      </c>
      <c r="H91" t="s">
        <v>369</v>
      </c>
      <c r="I91" t="s">
        <v>374</v>
      </c>
      <c r="J91">
        <v>22</v>
      </c>
      <c r="K91">
        <v>12</v>
      </c>
      <c r="L91">
        <v>0</v>
      </c>
    </row>
    <row r="92" spans="1:12" x14ac:dyDescent="0.25">
      <c r="A92" t="s">
        <v>377</v>
      </c>
      <c r="B92" t="s">
        <v>378</v>
      </c>
      <c r="C92" t="s">
        <v>78</v>
      </c>
      <c r="D92" t="s">
        <v>79</v>
      </c>
      <c r="E92" t="s">
        <v>373</v>
      </c>
      <c r="F92" t="s">
        <v>333</v>
      </c>
      <c r="G92" t="s">
        <v>368</v>
      </c>
      <c r="H92" t="s">
        <v>369</v>
      </c>
      <c r="I92" t="s">
        <v>374</v>
      </c>
      <c r="J92">
        <v>22</v>
      </c>
      <c r="K92">
        <v>12</v>
      </c>
      <c r="L92">
        <v>0</v>
      </c>
    </row>
    <row r="93" spans="1:12" x14ac:dyDescent="0.25">
      <c r="A93" t="s">
        <v>379</v>
      </c>
      <c r="B93" t="s">
        <v>380</v>
      </c>
      <c r="C93" t="s">
        <v>78</v>
      </c>
      <c r="D93" t="s">
        <v>79</v>
      </c>
      <c r="E93" t="s">
        <v>373</v>
      </c>
      <c r="F93" t="s">
        <v>333</v>
      </c>
      <c r="G93" t="s">
        <v>368</v>
      </c>
      <c r="H93" t="s">
        <v>369</v>
      </c>
      <c r="I93" t="s">
        <v>374</v>
      </c>
      <c r="J93">
        <v>22</v>
      </c>
      <c r="K93">
        <v>12</v>
      </c>
      <c r="L93">
        <v>0</v>
      </c>
    </row>
    <row r="94" spans="1:12" x14ac:dyDescent="0.25">
      <c r="A94" t="s">
        <v>381</v>
      </c>
      <c r="B94" t="s">
        <v>382</v>
      </c>
      <c r="C94" t="s">
        <v>78</v>
      </c>
      <c r="D94" t="s">
        <v>79</v>
      </c>
      <c r="E94" t="s">
        <v>373</v>
      </c>
      <c r="F94" t="s">
        <v>333</v>
      </c>
      <c r="G94" t="s">
        <v>334</v>
      </c>
      <c r="H94" t="s">
        <v>369</v>
      </c>
      <c r="I94" t="s">
        <v>383</v>
      </c>
      <c r="J94">
        <v>22</v>
      </c>
      <c r="K94">
        <v>12</v>
      </c>
      <c r="L94">
        <v>0</v>
      </c>
    </row>
    <row r="95" spans="1:12" x14ac:dyDescent="0.25">
      <c r="A95" t="s">
        <v>384</v>
      </c>
      <c r="B95" t="s">
        <v>385</v>
      </c>
      <c r="C95" t="s">
        <v>78</v>
      </c>
      <c r="D95" t="s">
        <v>79</v>
      </c>
      <c r="E95" t="s">
        <v>373</v>
      </c>
      <c r="F95" t="s">
        <v>333</v>
      </c>
      <c r="G95" t="s">
        <v>368</v>
      </c>
      <c r="H95" t="s">
        <v>369</v>
      </c>
      <c r="I95" t="s">
        <v>374</v>
      </c>
      <c r="J95">
        <v>22</v>
      </c>
      <c r="K95">
        <v>12</v>
      </c>
      <c r="L95">
        <v>0</v>
      </c>
    </row>
    <row r="96" spans="1:12" x14ac:dyDescent="0.25">
      <c r="A96" t="s">
        <v>58</v>
      </c>
      <c r="B96" t="s">
        <v>59</v>
      </c>
      <c r="C96" t="s">
        <v>78</v>
      </c>
      <c r="D96" t="s">
        <v>79</v>
      </c>
      <c r="E96" t="s">
        <v>373</v>
      </c>
      <c r="F96" t="s">
        <v>333</v>
      </c>
      <c r="G96" t="s">
        <v>368</v>
      </c>
      <c r="H96" t="s">
        <v>369</v>
      </c>
      <c r="I96" t="s">
        <v>374</v>
      </c>
      <c r="J96">
        <v>22</v>
      </c>
      <c r="K96">
        <v>12</v>
      </c>
      <c r="L96">
        <v>29220</v>
      </c>
    </row>
    <row r="97" spans="1:12" x14ac:dyDescent="0.25">
      <c r="A97" t="s">
        <v>386</v>
      </c>
      <c r="B97" t="s">
        <v>387</v>
      </c>
      <c r="C97" t="s">
        <v>78</v>
      </c>
      <c r="D97" t="s">
        <v>79</v>
      </c>
      <c r="E97" t="s">
        <v>373</v>
      </c>
      <c r="F97" t="s">
        <v>333</v>
      </c>
      <c r="G97" t="s">
        <v>334</v>
      </c>
      <c r="H97" t="s">
        <v>369</v>
      </c>
      <c r="I97" t="s">
        <v>383</v>
      </c>
      <c r="J97">
        <v>22</v>
      </c>
      <c r="K97">
        <v>12</v>
      </c>
      <c r="L97">
        <v>0</v>
      </c>
    </row>
    <row r="98" spans="1:12" x14ac:dyDescent="0.25">
      <c r="A98" t="s">
        <v>388</v>
      </c>
      <c r="B98" t="s">
        <v>389</v>
      </c>
      <c r="C98" t="s">
        <v>78</v>
      </c>
      <c r="D98" t="s">
        <v>79</v>
      </c>
      <c r="E98" t="s">
        <v>390</v>
      </c>
      <c r="F98" t="s">
        <v>279</v>
      </c>
      <c r="G98" t="s">
        <v>391</v>
      </c>
      <c r="H98" t="s">
        <v>330</v>
      </c>
      <c r="I98" t="s">
        <v>392</v>
      </c>
      <c r="J98">
        <v>44</v>
      </c>
      <c r="K98">
        <v>12</v>
      </c>
      <c r="L98">
        <v>0</v>
      </c>
    </row>
    <row r="99" spans="1:12" x14ac:dyDescent="0.25">
      <c r="A99" t="s">
        <v>393</v>
      </c>
      <c r="B99" t="s">
        <v>394</v>
      </c>
      <c r="C99" t="s">
        <v>78</v>
      </c>
      <c r="D99" t="s">
        <v>79</v>
      </c>
      <c r="E99" t="s">
        <v>390</v>
      </c>
      <c r="F99" t="s">
        <v>279</v>
      </c>
      <c r="G99" t="s">
        <v>391</v>
      </c>
      <c r="H99" t="s">
        <v>330</v>
      </c>
      <c r="I99" t="s">
        <v>392</v>
      </c>
      <c r="J99">
        <v>44</v>
      </c>
      <c r="K99">
        <v>12</v>
      </c>
      <c r="L99">
        <v>0</v>
      </c>
    </row>
    <row r="100" spans="1:12" x14ac:dyDescent="0.25">
      <c r="A100" t="s">
        <v>395</v>
      </c>
      <c r="B100" t="s">
        <v>396</v>
      </c>
      <c r="C100" t="s">
        <v>78</v>
      </c>
      <c r="D100" t="s">
        <v>79</v>
      </c>
      <c r="E100" t="s">
        <v>390</v>
      </c>
      <c r="F100" t="s">
        <v>279</v>
      </c>
      <c r="G100" t="s">
        <v>391</v>
      </c>
      <c r="H100" t="s">
        <v>330</v>
      </c>
      <c r="I100" t="s">
        <v>392</v>
      </c>
      <c r="J100">
        <v>44</v>
      </c>
      <c r="K100">
        <v>12</v>
      </c>
      <c r="L100">
        <v>0</v>
      </c>
    </row>
    <row r="101" spans="1:12" x14ac:dyDescent="0.25">
      <c r="A101" t="s">
        <v>397</v>
      </c>
      <c r="B101" t="s">
        <v>398</v>
      </c>
      <c r="C101" t="s">
        <v>78</v>
      </c>
      <c r="D101" t="s">
        <v>79</v>
      </c>
      <c r="E101" t="s">
        <v>390</v>
      </c>
      <c r="F101" t="s">
        <v>279</v>
      </c>
      <c r="G101" t="s">
        <v>391</v>
      </c>
      <c r="H101" t="s">
        <v>330</v>
      </c>
      <c r="I101" t="s">
        <v>392</v>
      </c>
      <c r="J101">
        <v>44</v>
      </c>
      <c r="K101">
        <v>12</v>
      </c>
      <c r="L101">
        <v>0</v>
      </c>
    </row>
    <row r="102" spans="1:12" x14ac:dyDescent="0.25">
      <c r="A102" t="s">
        <v>399</v>
      </c>
      <c r="B102" t="s">
        <v>400</v>
      </c>
      <c r="C102" t="s">
        <v>78</v>
      </c>
      <c r="D102" t="s">
        <v>79</v>
      </c>
      <c r="E102" t="s">
        <v>390</v>
      </c>
      <c r="F102" t="s">
        <v>279</v>
      </c>
      <c r="G102" t="s">
        <v>391</v>
      </c>
      <c r="H102" t="s">
        <v>330</v>
      </c>
      <c r="I102" t="s">
        <v>392</v>
      </c>
      <c r="J102">
        <v>44</v>
      </c>
      <c r="K102">
        <v>12</v>
      </c>
      <c r="L102">
        <v>0</v>
      </c>
    </row>
    <row r="103" spans="1:12" x14ac:dyDescent="0.25">
      <c r="A103" t="s">
        <v>38</v>
      </c>
      <c r="B103" t="s">
        <v>39</v>
      </c>
      <c r="C103" t="s">
        <v>78</v>
      </c>
      <c r="D103" t="s">
        <v>79</v>
      </c>
      <c r="E103" t="s">
        <v>390</v>
      </c>
      <c r="F103" t="s">
        <v>279</v>
      </c>
      <c r="G103" t="s">
        <v>391</v>
      </c>
      <c r="H103" t="s">
        <v>330</v>
      </c>
      <c r="I103" t="s">
        <v>392</v>
      </c>
      <c r="J103">
        <v>44</v>
      </c>
      <c r="K103">
        <v>12</v>
      </c>
      <c r="L103">
        <v>79896</v>
      </c>
    </row>
    <row r="104" spans="1:12" x14ac:dyDescent="0.25">
      <c r="A104" t="s">
        <v>205</v>
      </c>
      <c r="B104" t="s">
        <v>206</v>
      </c>
      <c r="C104" t="s">
        <v>78</v>
      </c>
      <c r="D104" t="s">
        <v>79</v>
      </c>
      <c r="E104" t="s">
        <v>390</v>
      </c>
      <c r="F104" t="s">
        <v>279</v>
      </c>
      <c r="G104" t="s">
        <v>391</v>
      </c>
      <c r="H104" t="s">
        <v>330</v>
      </c>
      <c r="I104" t="s">
        <v>392</v>
      </c>
      <c r="J104">
        <v>44</v>
      </c>
      <c r="K104">
        <v>12</v>
      </c>
      <c r="L104">
        <v>163620</v>
      </c>
    </row>
    <row r="105" spans="1:12" x14ac:dyDescent="0.25">
      <c r="A105" t="s">
        <v>207</v>
      </c>
      <c r="B105" t="s">
        <v>208</v>
      </c>
      <c r="C105" t="s">
        <v>78</v>
      </c>
      <c r="D105" t="s">
        <v>79</v>
      </c>
      <c r="E105" t="s">
        <v>390</v>
      </c>
      <c r="F105" t="s">
        <v>279</v>
      </c>
      <c r="G105" t="s">
        <v>391</v>
      </c>
      <c r="H105" t="s">
        <v>330</v>
      </c>
      <c r="I105" t="s">
        <v>392</v>
      </c>
      <c r="J105">
        <v>44</v>
      </c>
      <c r="K105">
        <v>12</v>
      </c>
      <c r="L105">
        <v>109080</v>
      </c>
    </row>
    <row r="106" spans="1:12" x14ac:dyDescent="0.25">
      <c r="A106" t="s">
        <v>209</v>
      </c>
      <c r="B106" t="s">
        <v>210</v>
      </c>
      <c r="C106" t="s">
        <v>78</v>
      </c>
      <c r="D106" t="s">
        <v>79</v>
      </c>
      <c r="E106" t="s">
        <v>390</v>
      </c>
      <c r="F106" t="s">
        <v>279</v>
      </c>
      <c r="G106" t="s">
        <v>391</v>
      </c>
      <c r="H106" t="s">
        <v>330</v>
      </c>
      <c r="I106" t="s">
        <v>392</v>
      </c>
      <c r="J106">
        <v>44</v>
      </c>
      <c r="K106">
        <v>12</v>
      </c>
      <c r="L106">
        <v>119172</v>
      </c>
    </row>
    <row r="107" spans="1:12" x14ac:dyDescent="0.25">
      <c r="A107" t="s">
        <v>401</v>
      </c>
      <c r="B107" t="s">
        <v>402</v>
      </c>
      <c r="C107" t="s">
        <v>78</v>
      </c>
      <c r="D107" t="s">
        <v>79</v>
      </c>
      <c r="E107" t="s">
        <v>390</v>
      </c>
      <c r="F107" t="s">
        <v>279</v>
      </c>
      <c r="G107" t="s">
        <v>391</v>
      </c>
      <c r="H107" t="s">
        <v>330</v>
      </c>
      <c r="I107" t="s">
        <v>392</v>
      </c>
      <c r="J107">
        <v>44</v>
      </c>
      <c r="K107">
        <v>12</v>
      </c>
      <c r="L107">
        <v>0</v>
      </c>
    </row>
    <row r="108" spans="1:12" x14ac:dyDescent="0.25">
      <c r="A108" t="s">
        <v>44</v>
      </c>
      <c r="B108" t="s">
        <v>45</v>
      </c>
      <c r="C108" t="s">
        <v>78</v>
      </c>
      <c r="D108" t="s">
        <v>79</v>
      </c>
      <c r="E108" t="s">
        <v>403</v>
      </c>
      <c r="F108" t="s">
        <v>297</v>
      </c>
      <c r="G108" t="s">
        <v>404</v>
      </c>
      <c r="H108" t="s">
        <v>405</v>
      </c>
      <c r="I108" t="s">
        <v>406</v>
      </c>
      <c r="J108">
        <v>44</v>
      </c>
      <c r="K108">
        <v>12</v>
      </c>
      <c r="L108">
        <v>149520</v>
      </c>
    </row>
    <row r="109" spans="1:12" x14ac:dyDescent="0.25">
      <c r="A109" t="s">
        <v>122</v>
      </c>
      <c r="B109" t="s">
        <v>123</v>
      </c>
      <c r="C109" t="s">
        <v>78</v>
      </c>
      <c r="D109" t="s">
        <v>79</v>
      </c>
      <c r="E109" t="s">
        <v>403</v>
      </c>
      <c r="F109" t="s">
        <v>297</v>
      </c>
      <c r="G109" t="s">
        <v>404</v>
      </c>
      <c r="H109" t="s">
        <v>405</v>
      </c>
      <c r="I109" t="s">
        <v>406</v>
      </c>
      <c r="J109">
        <v>44</v>
      </c>
      <c r="K109">
        <v>12</v>
      </c>
      <c r="L109">
        <v>74760</v>
      </c>
    </row>
    <row r="110" spans="1:12" x14ac:dyDescent="0.25">
      <c r="A110" t="s">
        <v>124</v>
      </c>
      <c r="B110" t="s">
        <v>125</v>
      </c>
      <c r="C110" t="s">
        <v>78</v>
      </c>
      <c r="D110" t="s">
        <v>79</v>
      </c>
      <c r="E110" t="s">
        <v>403</v>
      </c>
      <c r="F110" t="s">
        <v>297</v>
      </c>
      <c r="G110" t="s">
        <v>404</v>
      </c>
      <c r="H110" t="s">
        <v>405</v>
      </c>
      <c r="I110" t="s">
        <v>406</v>
      </c>
      <c r="J110">
        <v>44</v>
      </c>
      <c r="K110">
        <v>12</v>
      </c>
      <c r="L110">
        <v>149520</v>
      </c>
    </row>
    <row r="111" spans="1:12" x14ac:dyDescent="0.25">
      <c r="A111" t="s">
        <v>126</v>
      </c>
      <c r="B111" t="s">
        <v>127</v>
      </c>
      <c r="C111" t="s">
        <v>78</v>
      </c>
      <c r="D111" t="s">
        <v>79</v>
      </c>
      <c r="E111" t="s">
        <v>403</v>
      </c>
      <c r="F111" t="s">
        <v>297</v>
      </c>
      <c r="G111" t="s">
        <v>404</v>
      </c>
      <c r="H111" t="s">
        <v>405</v>
      </c>
      <c r="I111" t="s">
        <v>406</v>
      </c>
      <c r="J111">
        <v>44</v>
      </c>
      <c r="K111">
        <v>12</v>
      </c>
      <c r="L111">
        <v>149520</v>
      </c>
    </row>
    <row r="112" spans="1:12" x14ac:dyDescent="0.25">
      <c r="A112" t="s">
        <v>80</v>
      </c>
      <c r="B112" t="s">
        <v>81</v>
      </c>
      <c r="C112" t="s">
        <v>78</v>
      </c>
      <c r="D112" t="s">
        <v>79</v>
      </c>
      <c r="E112" t="s">
        <v>407</v>
      </c>
      <c r="F112" t="s">
        <v>307</v>
      </c>
      <c r="G112" t="s">
        <v>408</v>
      </c>
      <c r="H112" t="s">
        <v>409</v>
      </c>
      <c r="I112" t="s">
        <v>410</v>
      </c>
      <c r="J112">
        <v>44</v>
      </c>
      <c r="K112">
        <v>24</v>
      </c>
      <c r="L112">
        <v>0</v>
      </c>
    </row>
    <row r="113" spans="1:12" x14ac:dyDescent="0.25">
      <c r="A113" t="s">
        <v>82</v>
      </c>
      <c r="B113" t="s">
        <v>83</v>
      </c>
      <c r="C113" t="s">
        <v>78</v>
      </c>
      <c r="D113" t="s">
        <v>79</v>
      </c>
      <c r="E113" t="s">
        <v>407</v>
      </c>
      <c r="F113" t="s">
        <v>307</v>
      </c>
      <c r="G113" t="s">
        <v>408</v>
      </c>
      <c r="H113" t="s">
        <v>409</v>
      </c>
      <c r="I113" t="s">
        <v>410</v>
      </c>
      <c r="J113">
        <v>44</v>
      </c>
      <c r="K113">
        <v>24</v>
      </c>
      <c r="L113">
        <v>0</v>
      </c>
    </row>
    <row r="114" spans="1:12" x14ac:dyDescent="0.25">
      <c r="A114" t="s">
        <v>54</v>
      </c>
      <c r="B114" t="s">
        <v>55</v>
      </c>
      <c r="C114" t="s">
        <v>78</v>
      </c>
      <c r="D114" t="s">
        <v>79</v>
      </c>
      <c r="E114" t="s">
        <v>407</v>
      </c>
      <c r="F114" t="s">
        <v>307</v>
      </c>
      <c r="G114" t="s">
        <v>408</v>
      </c>
      <c r="H114" t="s">
        <v>409</v>
      </c>
      <c r="I114" t="s">
        <v>410</v>
      </c>
      <c r="J114">
        <v>44</v>
      </c>
      <c r="K114">
        <v>24</v>
      </c>
      <c r="L114">
        <v>95784</v>
      </c>
    </row>
    <row r="115" spans="1:12" x14ac:dyDescent="0.25">
      <c r="A115" t="s">
        <v>60</v>
      </c>
      <c r="B115" t="s">
        <v>61</v>
      </c>
      <c r="C115" t="s">
        <v>78</v>
      </c>
      <c r="D115" t="s">
        <v>79</v>
      </c>
      <c r="E115" t="s">
        <v>407</v>
      </c>
      <c r="F115" t="s">
        <v>307</v>
      </c>
      <c r="G115" t="s">
        <v>408</v>
      </c>
      <c r="H115" t="s">
        <v>409</v>
      </c>
      <c r="I115" t="s">
        <v>410</v>
      </c>
      <c r="J115">
        <v>44</v>
      </c>
      <c r="K115">
        <v>24</v>
      </c>
      <c r="L115">
        <v>190944</v>
      </c>
    </row>
    <row r="116" spans="1:12" x14ac:dyDescent="0.25">
      <c r="A116" t="s">
        <v>36</v>
      </c>
      <c r="B116" t="s">
        <v>37</v>
      </c>
      <c r="C116" t="s">
        <v>78</v>
      </c>
      <c r="D116" t="s">
        <v>79</v>
      </c>
      <c r="E116" t="s">
        <v>407</v>
      </c>
      <c r="F116" t="s">
        <v>307</v>
      </c>
      <c r="G116" t="s">
        <v>408</v>
      </c>
      <c r="H116" t="s">
        <v>409</v>
      </c>
      <c r="I116" t="s">
        <v>410</v>
      </c>
      <c r="J116">
        <v>44</v>
      </c>
      <c r="K116">
        <v>24</v>
      </c>
      <c r="L116">
        <v>379968</v>
      </c>
    </row>
    <row r="117" spans="1:12" x14ac:dyDescent="0.25">
      <c r="A117" t="s">
        <v>68</v>
      </c>
      <c r="B117" t="s">
        <v>69</v>
      </c>
      <c r="C117" t="s">
        <v>78</v>
      </c>
      <c r="D117" t="s">
        <v>79</v>
      </c>
      <c r="E117" t="s">
        <v>407</v>
      </c>
      <c r="F117" t="s">
        <v>307</v>
      </c>
      <c r="G117" t="s">
        <v>408</v>
      </c>
      <c r="H117" t="s">
        <v>409</v>
      </c>
      <c r="I117" t="s">
        <v>410</v>
      </c>
      <c r="J117">
        <v>44</v>
      </c>
      <c r="K117">
        <v>24</v>
      </c>
      <c r="L117">
        <v>190944</v>
      </c>
    </row>
    <row r="118" spans="1:12" x14ac:dyDescent="0.25">
      <c r="A118" t="s">
        <v>411</v>
      </c>
      <c r="B118" t="s">
        <v>412</v>
      </c>
      <c r="C118" t="s">
        <v>78</v>
      </c>
      <c r="D118" t="s">
        <v>79</v>
      </c>
      <c r="E118" t="s">
        <v>407</v>
      </c>
      <c r="F118" t="s">
        <v>307</v>
      </c>
      <c r="G118" t="s">
        <v>408</v>
      </c>
      <c r="H118" t="s">
        <v>409</v>
      </c>
      <c r="I118" t="s">
        <v>410</v>
      </c>
      <c r="J118">
        <v>0</v>
      </c>
      <c r="K118">
        <v>24</v>
      </c>
      <c r="L118">
        <v>0</v>
      </c>
    </row>
    <row r="119" spans="1:12" x14ac:dyDescent="0.25">
      <c r="A119" t="s">
        <v>52</v>
      </c>
      <c r="B119" t="s">
        <v>53</v>
      </c>
      <c r="C119" t="s">
        <v>78</v>
      </c>
      <c r="D119" t="s">
        <v>79</v>
      </c>
      <c r="E119" t="s">
        <v>407</v>
      </c>
      <c r="F119" t="s">
        <v>307</v>
      </c>
      <c r="G119" t="s">
        <v>413</v>
      </c>
      <c r="H119" t="s">
        <v>338</v>
      </c>
      <c r="I119" t="s">
        <v>414</v>
      </c>
      <c r="J119">
        <v>44</v>
      </c>
      <c r="K119">
        <v>12</v>
      </c>
      <c r="L119">
        <v>223176</v>
      </c>
    </row>
    <row r="120" spans="1:12" x14ac:dyDescent="0.25">
      <c r="A120" t="s">
        <v>110</v>
      </c>
      <c r="B120" t="s">
        <v>111</v>
      </c>
      <c r="C120" t="s">
        <v>78</v>
      </c>
      <c r="D120" t="s">
        <v>79</v>
      </c>
      <c r="E120" t="s">
        <v>407</v>
      </c>
      <c r="F120" t="s">
        <v>307</v>
      </c>
      <c r="G120" t="s">
        <v>413</v>
      </c>
      <c r="H120" t="s">
        <v>338</v>
      </c>
      <c r="I120" t="s">
        <v>414</v>
      </c>
      <c r="J120">
        <v>44</v>
      </c>
      <c r="K120">
        <v>12</v>
      </c>
      <c r="L120">
        <v>191904</v>
      </c>
    </row>
    <row r="121" spans="1:12" x14ac:dyDescent="0.25">
      <c r="A121" t="s">
        <v>112</v>
      </c>
      <c r="B121" t="s">
        <v>113</v>
      </c>
      <c r="C121" t="s">
        <v>78</v>
      </c>
      <c r="D121" t="s">
        <v>79</v>
      </c>
      <c r="E121" t="s">
        <v>407</v>
      </c>
      <c r="F121" t="s">
        <v>307</v>
      </c>
      <c r="G121" t="s">
        <v>413</v>
      </c>
      <c r="H121" t="s">
        <v>338</v>
      </c>
      <c r="I121" t="s">
        <v>414</v>
      </c>
      <c r="J121">
        <v>44</v>
      </c>
      <c r="K121">
        <v>12</v>
      </c>
      <c r="L121">
        <v>191904</v>
      </c>
    </row>
    <row r="122" spans="1:12" x14ac:dyDescent="0.25">
      <c r="A122" t="s">
        <v>108</v>
      </c>
      <c r="B122" t="s">
        <v>109</v>
      </c>
      <c r="C122" t="s">
        <v>78</v>
      </c>
      <c r="D122" t="s">
        <v>79</v>
      </c>
      <c r="E122" t="s">
        <v>407</v>
      </c>
      <c r="F122" t="s">
        <v>307</v>
      </c>
      <c r="G122" t="s">
        <v>413</v>
      </c>
      <c r="H122" t="s">
        <v>338</v>
      </c>
      <c r="I122" t="s">
        <v>414</v>
      </c>
      <c r="J122">
        <v>44</v>
      </c>
      <c r="K122">
        <v>6</v>
      </c>
      <c r="L122">
        <v>0</v>
      </c>
    </row>
    <row r="123" spans="1:12" x14ac:dyDescent="0.25">
      <c r="A123" t="s">
        <v>415</v>
      </c>
      <c r="B123" t="s">
        <v>416</v>
      </c>
      <c r="C123" t="s">
        <v>78</v>
      </c>
      <c r="D123" t="s">
        <v>79</v>
      </c>
      <c r="E123" t="s">
        <v>407</v>
      </c>
      <c r="F123" t="s">
        <v>307</v>
      </c>
      <c r="G123" t="s">
        <v>413</v>
      </c>
      <c r="H123" t="s">
        <v>338</v>
      </c>
      <c r="I123" t="s">
        <v>414</v>
      </c>
      <c r="J123">
        <v>44</v>
      </c>
      <c r="K123">
        <v>6</v>
      </c>
      <c r="L123">
        <v>0</v>
      </c>
    </row>
    <row r="124" spans="1:12" x14ac:dyDescent="0.25">
      <c r="A124" t="s">
        <v>114</v>
      </c>
      <c r="B124" t="s">
        <v>115</v>
      </c>
      <c r="C124" t="s">
        <v>78</v>
      </c>
      <c r="D124" t="s">
        <v>79</v>
      </c>
      <c r="E124" t="s">
        <v>407</v>
      </c>
      <c r="F124" t="s">
        <v>307</v>
      </c>
      <c r="G124" t="s">
        <v>413</v>
      </c>
      <c r="H124" t="s">
        <v>338</v>
      </c>
      <c r="I124" t="s">
        <v>414</v>
      </c>
      <c r="J124">
        <v>44</v>
      </c>
      <c r="K124">
        <v>6</v>
      </c>
      <c r="L124">
        <v>0</v>
      </c>
    </row>
    <row r="125" spans="1:12" x14ac:dyDescent="0.25">
      <c r="A125" t="s">
        <v>70</v>
      </c>
      <c r="B125" t="s">
        <v>71</v>
      </c>
      <c r="C125" t="s">
        <v>78</v>
      </c>
      <c r="D125" t="s">
        <v>79</v>
      </c>
      <c r="E125" t="s">
        <v>417</v>
      </c>
      <c r="F125" t="s">
        <v>307</v>
      </c>
      <c r="G125" t="s">
        <v>418</v>
      </c>
      <c r="H125" t="s">
        <v>409</v>
      </c>
      <c r="I125" t="s">
        <v>419</v>
      </c>
      <c r="J125">
        <v>44</v>
      </c>
      <c r="K125">
        <v>12</v>
      </c>
      <c r="L125">
        <v>148176</v>
      </c>
    </row>
    <row r="126" spans="1:12" x14ac:dyDescent="0.25">
      <c r="A126" t="s">
        <v>72</v>
      </c>
      <c r="B126" t="s">
        <v>73</v>
      </c>
      <c r="C126" t="s">
        <v>78</v>
      </c>
      <c r="D126" t="s">
        <v>79</v>
      </c>
      <c r="E126" t="s">
        <v>417</v>
      </c>
      <c r="F126" t="s">
        <v>307</v>
      </c>
      <c r="G126" t="s">
        <v>418</v>
      </c>
      <c r="H126" t="s">
        <v>409</v>
      </c>
      <c r="I126" t="s">
        <v>419</v>
      </c>
      <c r="J126">
        <v>44</v>
      </c>
      <c r="K126">
        <v>12</v>
      </c>
      <c r="L126">
        <v>98784</v>
      </c>
    </row>
    <row r="127" spans="1:12" x14ac:dyDescent="0.25">
      <c r="A127" t="s">
        <v>84</v>
      </c>
      <c r="B127" t="s">
        <v>85</v>
      </c>
      <c r="C127" t="s">
        <v>78</v>
      </c>
      <c r="D127" t="s">
        <v>79</v>
      </c>
      <c r="E127" t="s">
        <v>417</v>
      </c>
      <c r="F127" t="s">
        <v>307</v>
      </c>
      <c r="G127" t="s">
        <v>418</v>
      </c>
      <c r="H127" t="s">
        <v>409</v>
      </c>
      <c r="I127" t="s">
        <v>419</v>
      </c>
      <c r="J127">
        <v>44</v>
      </c>
      <c r="K127">
        <v>12</v>
      </c>
      <c r="L127">
        <v>98784</v>
      </c>
    </row>
    <row r="128" spans="1:12" x14ac:dyDescent="0.25">
      <c r="A128" t="s">
        <v>116</v>
      </c>
      <c r="B128" t="s">
        <v>117</v>
      </c>
      <c r="C128" t="s">
        <v>78</v>
      </c>
      <c r="D128" t="s">
        <v>79</v>
      </c>
      <c r="E128" t="s">
        <v>417</v>
      </c>
      <c r="F128" t="s">
        <v>307</v>
      </c>
      <c r="G128" t="s">
        <v>420</v>
      </c>
      <c r="H128" t="s">
        <v>409</v>
      </c>
      <c r="I128" t="s">
        <v>421</v>
      </c>
      <c r="J128">
        <v>44</v>
      </c>
      <c r="K128">
        <v>24</v>
      </c>
      <c r="L128">
        <v>148176</v>
      </c>
    </row>
    <row r="129" spans="1:12" x14ac:dyDescent="0.25">
      <c r="A129" t="s">
        <v>118</v>
      </c>
      <c r="B129" t="s">
        <v>119</v>
      </c>
      <c r="C129" t="s">
        <v>78</v>
      </c>
      <c r="D129" t="s">
        <v>79</v>
      </c>
      <c r="E129" t="s">
        <v>417</v>
      </c>
      <c r="F129" t="s">
        <v>307</v>
      </c>
      <c r="G129" t="s">
        <v>420</v>
      </c>
      <c r="H129" t="s">
        <v>409</v>
      </c>
      <c r="I129" t="s">
        <v>421</v>
      </c>
      <c r="J129">
        <v>44</v>
      </c>
      <c r="K129">
        <v>24</v>
      </c>
      <c r="L129">
        <v>197568</v>
      </c>
    </row>
    <row r="130" spans="1:12" x14ac:dyDescent="0.25">
      <c r="A130" t="s">
        <v>182</v>
      </c>
      <c r="B130" t="s">
        <v>183</v>
      </c>
      <c r="C130" t="s">
        <v>78</v>
      </c>
      <c r="D130" t="s">
        <v>79</v>
      </c>
      <c r="E130" t="s">
        <v>417</v>
      </c>
      <c r="F130" t="s">
        <v>307</v>
      </c>
      <c r="G130" t="s">
        <v>420</v>
      </c>
      <c r="H130" t="s">
        <v>409</v>
      </c>
      <c r="I130" t="s">
        <v>421</v>
      </c>
      <c r="J130">
        <v>44</v>
      </c>
      <c r="K130">
        <v>24</v>
      </c>
      <c r="L130">
        <v>98784</v>
      </c>
    </row>
    <row r="131" spans="1:12" x14ac:dyDescent="0.25">
      <c r="A131" t="s">
        <v>184</v>
      </c>
      <c r="B131" t="s">
        <v>185</v>
      </c>
      <c r="C131" t="s">
        <v>78</v>
      </c>
      <c r="D131" t="s">
        <v>79</v>
      </c>
      <c r="E131" t="s">
        <v>417</v>
      </c>
      <c r="F131" t="s">
        <v>307</v>
      </c>
      <c r="G131" t="s">
        <v>420</v>
      </c>
      <c r="H131" t="s">
        <v>409</v>
      </c>
      <c r="I131" t="s">
        <v>421</v>
      </c>
      <c r="J131">
        <v>44</v>
      </c>
      <c r="K131">
        <v>24</v>
      </c>
      <c r="L131">
        <v>49392</v>
      </c>
    </row>
    <row r="132" spans="1:12" x14ac:dyDescent="0.25">
      <c r="A132" t="s">
        <v>32</v>
      </c>
      <c r="B132" t="s">
        <v>33</v>
      </c>
      <c r="C132" t="s">
        <v>78</v>
      </c>
      <c r="D132" t="s">
        <v>79</v>
      </c>
      <c r="E132" t="s">
        <v>417</v>
      </c>
      <c r="F132" t="s">
        <v>307</v>
      </c>
      <c r="G132" t="s">
        <v>420</v>
      </c>
      <c r="H132" t="s">
        <v>409</v>
      </c>
      <c r="I132" t="s">
        <v>421</v>
      </c>
      <c r="J132">
        <v>44</v>
      </c>
      <c r="K132">
        <v>24</v>
      </c>
      <c r="L132">
        <v>98784</v>
      </c>
    </row>
    <row r="133" spans="1:12" x14ac:dyDescent="0.25">
      <c r="A133" t="s">
        <v>186</v>
      </c>
      <c r="B133" t="s">
        <v>187</v>
      </c>
      <c r="C133" t="s">
        <v>78</v>
      </c>
      <c r="D133" t="s">
        <v>79</v>
      </c>
      <c r="E133" t="s">
        <v>417</v>
      </c>
      <c r="F133" t="s">
        <v>307</v>
      </c>
      <c r="G133" t="s">
        <v>420</v>
      </c>
      <c r="H133" t="s">
        <v>409</v>
      </c>
      <c r="I133" t="s">
        <v>421</v>
      </c>
      <c r="J133">
        <v>44</v>
      </c>
      <c r="K133">
        <v>24</v>
      </c>
      <c r="L133">
        <v>98784</v>
      </c>
    </row>
    <row r="134" spans="1:12" x14ac:dyDescent="0.25">
      <c r="A134" t="s">
        <v>422</v>
      </c>
      <c r="B134" t="s">
        <v>423</v>
      </c>
      <c r="C134" t="s">
        <v>78</v>
      </c>
      <c r="D134" t="s">
        <v>79</v>
      </c>
      <c r="E134" t="s">
        <v>417</v>
      </c>
      <c r="F134" t="s">
        <v>307</v>
      </c>
      <c r="G134" t="s">
        <v>420</v>
      </c>
      <c r="H134" t="s">
        <v>409</v>
      </c>
      <c r="I134" t="s">
        <v>421</v>
      </c>
      <c r="J134">
        <v>66</v>
      </c>
      <c r="K134">
        <v>24</v>
      </c>
      <c r="L134">
        <v>0</v>
      </c>
    </row>
    <row r="135" spans="1:12" x14ac:dyDescent="0.25">
      <c r="A135" t="s">
        <v>424</v>
      </c>
      <c r="B135" t="s">
        <v>425</v>
      </c>
      <c r="C135" t="s">
        <v>78</v>
      </c>
      <c r="D135" t="s">
        <v>198</v>
      </c>
      <c r="E135" t="s">
        <v>407</v>
      </c>
      <c r="F135" t="s">
        <v>307</v>
      </c>
      <c r="G135" t="s">
        <v>426</v>
      </c>
      <c r="H135" t="s">
        <v>302</v>
      </c>
      <c r="I135" t="s">
        <v>427</v>
      </c>
      <c r="J135">
        <v>44</v>
      </c>
      <c r="K135">
        <v>8</v>
      </c>
      <c r="L135">
        <v>0</v>
      </c>
    </row>
    <row r="136" spans="1:12" x14ac:dyDescent="0.25">
      <c r="A136" t="s">
        <v>428</v>
      </c>
      <c r="B136" t="s">
        <v>429</v>
      </c>
      <c r="C136" t="s">
        <v>78</v>
      </c>
      <c r="D136" t="s">
        <v>198</v>
      </c>
      <c r="E136" t="s">
        <v>407</v>
      </c>
      <c r="F136" t="s">
        <v>307</v>
      </c>
      <c r="G136" t="s">
        <v>426</v>
      </c>
      <c r="H136" t="s">
        <v>302</v>
      </c>
      <c r="I136" t="s">
        <v>427</v>
      </c>
      <c r="J136">
        <v>44</v>
      </c>
      <c r="K136">
        <v>8</v>
      </c>
      <c r="L136">
        <v>39472</v>
      </c>
    </row>
    <row r="137" spans="1:12" x14ac:dyDescent="0.25">
      <c r="A137" t="s">
        <v>430</v>
      </c>
      <c r="B137" t="s">
        <v>431</v>
      </c>
      <c r="C137" t="s">
        <v>78</v>
      </c>
      <c r="D137" t="s">
        <v>198</v>
      </c>
      <c r="E137" t="s">
        <v>407</v>
      </c>
      <c r="F137" t="s">
        <v>307</v>
      </c>
      <c r="G137" t="s">
        <v>426</v>
      </c>
      <c r="H137" t="s">
        <v>302</v>
      </c>
      <c r="I137" t="s">
        <v>427</v>
      </c>
      <c r="J137">
        <v>66</v>
      </c>
      <c r="K137">
        <v>8</v>
      </c>
      <c r="L137">
        <v>0</v>
      </c>
    </row>
    <row r="138" spans="1:12" x14ac:dyDescent="0.25">
      <c r="A138" t="s">
        <v>188</v>
      </c>
      <c r="B138" t="s">
        <v>189</v>
      </c>
      <c r="C138" t="s">
        <v>78</v>
      </c>
      <c r="D138" t="s">
        <v>79</v>
      </c>
      <c r="E138" t="s">
        <v>407</v>
      </c>
      <c r="F138" t="s">
        <v>307</v>
      </c>
      <c r="G138" t="s">
        <v>432</v>
      </c>
      <c r="H138" t="s">
        <v>299</v>
      </c>
      <c r="I138" t="s">
        <v>433</v>
      </c>
      <c r="J138">
        <v>44</v>
      </c>
      <c r="K138">
        <v>12</v>
      </c>
      <c r="L138">
        <v>0</v>
      </c>
    </row>
    <row r="139" spans="1:12" x14ac:dyDescent="0.25">
      <c r="A139" t="s">
        <v>434</v>
      </c>
      <c r="B139" t="s">
        <v>435</v>
      </c>
      <c r="C139" t="s">
        <v>78</v>
      </c>
      <c r="D139" t="s">
        <v>79</v>
      </c>
      <c r="E139" t="s">
        <v>407</v>
      </c>
      <c r="F139" t="s">
        <v>307</v>
      </c>
      <c r="G139" t="s">
        <v>432</v>
      </c>
      <c r="H139" t="s">
        <v>299</v>
      </c>
      <c r="I139" t="s">
        <v>433</v>
      </c>
      <c r="J139">
        <v>44</v>
      </c>
      <c r="K139">
        <v>12</v>
      </c>
      <c r="L139">
        <v>0</v>
      </c>
    </row>
    <row r="140" spans="1:12" x14ac:dyDescent="0.25">
      <c r="A140" t="s">
        <v>436</v>
      </c>
      <c r="B140" t="s">
        <v>437</v>
      </c>
      <c r="C140" t="s">
        <v>78</v>
      </c>
      <c r="D140" t="s">
        <v>198</v>
      </c>
      <c r="E140" t="s">
        <v>407</v>
      </c>
      <c r="F140" t="s">
        <v>307</v>
      </c>
      <c r="G140" t="s">
        <v>438</v>
      </c>
      <c r="H140" t="s">
        <v>302</v>
      </c>
      <c r="I140" t="s">
        <v>439</v>
      </c>
      <c r="J140">
        <v>44</v>
      </c>
      <c r="K140">
        <v>12</v>
      </c>
      <c r="L140">
        <v>60912</v>
      </c>
    </row>
    <row r="141" spans="1:12" x14ac:dyDescent="0.25">
      <c r="A141" t="s">
        <v>440</v>
      </c>
      <c r="B141" t="s">
        <v>441</v>
      </c>
      <c r="C141" t="s">
        <v>78</v>
      </c>
      <c r="D141" t="s">
        <v>198</v>
      </c>
      <c r="E141" t="s">
        <v>407</v>
      </c>
      <c r="F141" t="s">
        <v>307</v>
      </c>
      <c r="G141" t="s">
        <v>438</v>
      </c>
      <c r="H141" t="s">
        <v>302</v>
      </c>
      <c r="I141" t="s">
        <v>439</v>
      </c>
      <c r="J141">
        <v>44</v>
      </c>
      <c r="K141">
        <v>12</v>
      </c>
      <c r="L141">
        <v>0</v>
      </c>
    </row>
    <row r="142" spans="1:12" x14ac:dyDescent="0.25">
      <c r="A142" t="s">
        <v>442</v>
      </c>
      <c r="B142" t="s">
        <v>443</v>
      </c>
      <c r="C142" t="s">
        <v>78</v>
      </c>
      <c r="D142" t="s">
        <v>198</v>
      </c>
      <c r="E142" t="s">
        <v>407</v>
      </c>
      <c r="F142" t="s">
        <v>307</v>
      </c>
      <c r="G142" t="s">
        <v>438</v>
      </c>
      <c r="H142" t="s">
        <v>302</v>
      </c>
      <c r="I142" t="s">
        <v>439</v>
      </c>
      <c r="J142">
        <v>44</v>
      </c>
      <c r="K142">
        <v>12</v>
      </c>
      <c r="L142">
        <v>0</v>
      </c>
    </row>
    <row r="143" spans="1:12" x14ac:dyDescent="0.25">
      <c r="A143" t="s">
        <v>444</v>
      </c>
      <c r="B143" t="s">
        <v>445</v>
      </c>
      <c r="C143" t="s">
        <v>78</v>
      </c>
      <c r="D143" t="s">
        <v>198</v>
      </c>
      <c r="E143" t="s">
        <v>407</v>
      </c>
      <c r="F143" t="s">
        <v>307</v>
      </c>
      <c r="G143" t="s">
        <v>438</v>
      </c>
      <c r="H143" t="s">
        <v>302</v>
      </c>
      <c r="I143" t="s">
        <v>439</v>
      </c>
      <c r="J143">
        <v>44</v>
      </c>
      <c r="K143">
        <v>12</v>
      </c>
      <c r="L143">
        <v>30456</v>
      </c>
    </row>
    <row r="144" spans="1:12" x14ac:dyDescent="0.25">
      <c r="A144" t="s">
        <v>92</v>
      </c>
      <c r="B144" t="s">
        <v>93</v>
      </c>
      <c r="C144" t="s">
        <v>78</v>
      </c>
      <c r="D144" t="s">
        <v>79</v>
      </c>
      <c r="E144" t="s">
        <v>278</v>
      </c>
      <c r="F144" t="s">
        <v>279</v>
      </c>
      <c r="G144" t="s">
        <v>446</v>
      </c>
      <c r="H144" t="s">
        <v>281</v>
      </c>
      <c r="I144" t="s">
        <v>282</v>
      </c>
      <c r="J144">
        <v>44</v>
      </c>
      <c r="K144">
        <v>12</v>
      </c>
      <c r="L144">
        <v>0</v>
      </c>
    </row>
    <row r="145" spans="1:12" x14ac:dyDescent="0.25">
      <c r="A145" t="s">
        <v>212</v>
      </c>
      <c r="B145" t="s">
        <v>213</v>
      </c>
      <c r="C145" t="s">
        <v>78</v>
      </c>
      <c r="D145" t="s">
        <v>79</v>
      </c>
      <c r="E145" t="s">
        <v>278</v>
      </c>
      <c r="F145" t="s">
        <v>279</v>
      </c>
      <c r="G145" t="s">
        <v>447</v>
      </c>
      <c r="H145" t="s">
        <v>281</v>
      </c>
      <c r="I145" t="s">
        <v>282</v>
      </c>
      <c r="J145">
        <v>44</v>
      </c>
      <c r="K145">
        <v>12</v>
      </c>
      <c r="L145">
        <v>48240</v>
      </c>
    </row>
    <row r="146" spans="1:12" x14ac:dyDescent="0.25">
      <c r="A146" t="s">
        <v>76</v>
      </c>
      <c r="B146" t="s">
        <v>77</v>
      </c>
      <c r="C146" t="s">
        <v>78</v>
      </c>
      <c r="D146" t="s">
        <v>79</v>
      </c>
      <c r="E146" t="s">
        <v>278</v>
      </c>
      <c r="F146" t="s">
        <v>279</v>
      </c>
      <c r="G146" t="s">
        <v>447</v>
      </c>
      <c r="H146" t="s">
        <v>281</v>
      </c>
      <c r="I146" t="s">
        <v>282</v>
      </c>
      <c r="J146">
        <v>44</v>
      </c>
      <c r="K146">
        <v>12</v>
      </c>
      <c r="L146">
        <v>723600</v>
      </c>
    </row>
    <row r="147" spans="1:12" x14ac:dyDescent="0.25">
      <c r="A147" t="s">
        <v>255</v>
      </c>
      <c r="B147" t="s">
        <v>256</v>
      </c>
      <c r="C147" t="s">
        <v>78</v>
      </c>
      <c r="D147" t="s">
        <v>79</v>
      </c>
      <c r="E147" t="s">
        <v>278</v>
      </c>
      <c r="F147" t="s">
        <v>279</v>
      </c>
      <c r="G147" t="s">
        <v>447</v>
      </c>
      <c r="H147" t="s">
        <v>281</v>
      </c>
      <c r="I147" t="s">
        <v>282</v>
      </c>
      <c r="J147">
        <v>44</v>
      </c>
      <c r="K147">
        <v>12</v>
      </c>
      <c r="L147">
        <v>48240</v>
      </c>
    </row>
    <row r="148" spans="1:12" x14ac:dyDescent="0.25">
      <c r="A148" t="s">
        <v>448</v>
      </c>
      <c r="B148" t="s">
        <v>449</v>
      </c>
      <c r="C148" t="s">
        <v>78</v>
      </c>
      <c r="D148" t="s">
        <v>79</v>
      </c>
      <c r="E148" t="s">
        <v>450</v>
      </c>
      <c r="F148" t="s">
        <v>328</v>
      </c>
      <c r="G148" t="s">
        <v>450</v>
      </c>
      <c r="H148" t="s">
        <v>369</v>
      </c>
      <c r="I148" t="s">
        <v>451</v>
      </c>
      <c r="J148">
        <v>22</v>
      </c>
      <c r="K148">
        <v>12</v>
      </c>
      <c r="L148">
        <v>0</v>
      </c>
    </row>
    <row r="149" spans="1:12" x14ac:dyDescent="0.25">
      <c r="A149" t="s">
        <v>452</v>
      </c>
      <c r="B149" t="s">
        <v>453</v>
      </c>
      <c r="C149" t="s">
        <v>78</v>
      </c>
      <c r="D149" t="s">
        <v>79</v>
      </c>
      <c r="E149" t="s">
        <v>450</v>
      </c>
      <c r="F149" t="s">
        <v>328</v>
      </c>
      <c r="G149" t="s">
        <v>450</v>
      </c>
      <c r="H149" t="s">
        <v>369</v>
      </c>
      <c r="I149" t="s">
        <v>451</v>
      </c>
      <c r="J149">
        <v>22</v>
      </c>
      <c r="K149">
        <v>12</v>
      </c>
      <c r="L149">
        <v>0</v>
      </c>
    </row>
    <row r="150" spans="1:12" x14ac:dyDescent="0.25">
      <c r="A150" t="s">
        <v>454</v>
      </c>
      <c r="B150" t="s">
        <v>455</v>
      </c>
      <c r="C150" t="s">
        <v>78</v>
      </c>
      <c r="D150" t="s">
        <v>198</v>
      </c>
      <c r="E150" t="s">
        <v>450</v>
      </c>
      <c r="F150" t="s">
        <v>328</v>
      </c>
      <c r="G150" t="s">
        <v>450</v>
      </c>
      <c r="H150" t="s">
        <v>365</v>
      </c>
      <c r="I150" t="s">
        <v>366</v>
      </c>
      <c r="J150">
        <v>22</v>
      </c>
      <c r="K150">
        <v>12</v>
      </c>
      <c r="L150">
        <v>0</v>
      </c>
    </row>
    <row r="151" spans="1:12" x14ac:dyDescent="0.25">
      <c r="A151" t="s">
        <v>456</v>
      </c>
      <c r="B151" t="s">
        <v>457</v>
      </c>
      <c r="C151" t="s">
        <v>78</v>
      </c>
      <c r="D151" t="s">
        <v>198</v>
      </c>
      <c r="E151" t="s">
        <v>450</v>
      </c>
      <c r="F151" t="s">
        <v>328</v>
      </c>
      <c r="G151" t="s">
        <v>450</v>
      </c>
      <c r="H151" t="s">
        <v>365</v>
      </c>
      <c r="I151" t="s">
        <v>366</v>
      </c>
      <c r="J151">
        <v>22</v>
      </c>
      <c r="K151">
        <v>12</v>
      </c>
      <c r="L151">
        <v>0</v>
      </c>
    </row>
    <row r="152" spans="1:12" x14ac:dyDescent="0.25">
      <c r="A152" t="s">
        <v>458</v>
      </c>
      <c r="B152" t="s">
        <v>459</v>
      </c>
      <c r="C152" t="s">
        <v>78</v>
      </c>
      <c r="D152" t="s">
        <v>79</v>
      </c>
      <c r="E152" t="s">
        <v>450</v>
      </c>
      <c r="F152" t="s">
        <v>328</v>
      </c>
      <c r="G152" t="s">
        <v>460</v>
      </c>
      <c r="H152" t="s">
        <v>461</v>
      </c>
      <c r="I152" t="s">
        <v>462</v>
      </c>
      <c r="J152">
        <v>22</v>
      </c>
      <c r="K152">
        <v>200</v>
      </c>
      <c r="L152">
        <v>0</v>
      </c>
    </row>
    <row r="153" spans="1:12" x14ac:dyDescent="0.25">
      <c r="A153" t="s">
        <v>463</v>
      </c>
      <c r="B153" t="s">
        <v>464</v>
      </c>
      <c r="C153" t="s">
        <v>78</v>
      </c>
      <c r="D153" t="s">
        <v>79</v>
      </c>
      <c r="E153" t="s">
        <v>450</v>
      </c>
      <c r="F153" t="s">
        <v>328</v>
      </c>
      <c r="G153" t="s">
        <v>460</v>
      </c>
      <c r="H153" t="s">
        <v>461</v>
      </c>
      <c r="I153" t="s">
        <v>462</v>
      </c>
      <c r="J153">
        <v>22</v>
      </c>
      <c r="K153">
        <v>200</v>
      </c>
      <c r="L153">
        <v>0</v>
      </c>
    </row>
    <row r="154" spans="1:12" x14ac:dyDescent="0.25">
      <c r="A154" t="s">
        <v>46</v>
      </c>
      <c r="B154" t="s">
        <v>47</v>
      </c>
      <c r="C154" t="s">
        <v>78</v>
      </c>
      <c r="D154" t="s">
        <v>79</v>
      </c>
      <c r="E154" t="s">
        <v>349</v>
      </c>
      <c r="F154" t="s">
        <v>307</v>
      </c>
      <c r="G154" t="s">
        <v>352</v>
      </c>
      <c r="H154" t="s">
        <v>353</v>
      </c>
      <c r="I154" t="s">
        <v>354</v>
      </c>
      <c r="J154">
        <v>44</v>
      </c>
      <c r="K154">
        <v>24</v>
      </c>
      <c r="L154">
        <v>278448</v>
      </c>
    </row>
    <row r="155" spans="1:12" x14ac:dyDescent="0.25">
      <c r="A155" t="s">
        <v>48</v>
      </c>
      <c r="B155" t="s">
        <v>49</v>
      </c>
      <c r="C155" t="s">
        <v>78</v>
      </c>
      <c r="D155" t="s">
        <v>79</v>
      </c>
      <c r="E155" t="s">
        <v>349</v>
      </c>
      <c r="F155" t="s">
        <v>307</v>
      </c>
      <c r="G155" t="s">
        <v>357</v>
      </c>
      <c r="H155" t="s">
        <v>338</v>
      </c>
      <c r="I155" t="s">
        <v>358</v>
      </c>
      <c r="J155">
        <v>44</v>
      </c>
      <c r="K155">
        <v>12</v>
      </c>
      <c r="L155">
        <v>94992</v>
      </c>
    </row>
    <row r="156" spans="1:12" x14ac:dyDescent="0.25">
      <c r="A156" t="s">
        <v>465</v>
      </c>
      <c r="B156" t="s">
        <v>466</v>
      </c>
      <c r="C156" t="s">
        <v>78</v>
      </c>
      <c r="D156" t="s">
        <v>79</v>
      </c>
      <c r="E156" t="s">
        <v>349</v>
      </c>
      <c r="F156" t="s">
        <v>307</v>
      </c>
      <c r="G156" t="s">
        <v>357</v>
      </c>
      <c r="H156" t="s">
        <v>338</v>
      </c>
      <c r="I156" t="s">
        <v>358</v>
      </c>
      <c r="J156">
        <v>22</v>
      </c>
      <c r="K156">
        <v>6</v>
      </c>
      <c r="L156">
        <v>0</v>
      </c>
    </row>
    <row r="157" spans="1:12" x14ac:dyDescent="0.25">
      <c r="A157" t="s">
        <v>74</v>
      </c>
      <c r="B157" t="s">
        <v>75</v>
      </c>
      <c r="C157" t="s">
        <v>78</v>
      </c>
      <c r="D157" t="s">
        <v>79</v>
      </c>
      <c r="E157" t="s">
        <v>349</v>
      </c>
      <c r="F157" t="s">
        <v>307</v>
      </c>
      <c r="G157" t="s">
        <v>352</v>
      </c>
      <c r="H157" t="s">
        <v>353</v>
      </c>
      <c r="I157" t="s">
        <v>354</v>
      </c>
      <c r="J157">
        <v>44</v>
      </c>
      <c r="K157">
        <v>24</v>
      </c>
      <c r="L157">
        <v>575712</v>
      </c>
    </row>
    <row r="158" spans="1:12" x14ac:dyDescent="0.25">
      <c r="A158" t="s">
        <v>40</v>
      </c>
      <c r="B158" t="s">
        <v>41</v>
      </c>
      <c r="C158" t="s">
        <v>78</v>
      </c>
      <c r="D158" t="s">
        <v>79</v>
      </c>
      <c r="E158" t="s">
        <v>349</v>
      </c>
      <c r="F158" t="s">
        <v>307</v>
      </c>
      <c r="G158" t="s">
        <v>352</v>
      </c>
      <c r="H158" t="s">
        <v>353</v>
      </c>
      <c r="I158" t="s">
        <v>354</v>
      </c>
      <c r="J158">
        <v>44</v>
      </c>
      <c r="K158">
        <v>24</v>
      </c>
      <c r="L158">
        <v>191904</v>
      </c>
    </row>
    <row r="159" spans="1:12" x14ac:dyDescent="0.25">
      <c r="A159" t="s">
        <v>467</v>
      </c>
      <c r="B159" t="s">
        <v>468</v>
      </c>
      <c r="C159" t="s">
        <v>78</v>
      </c>
      <c r="D159" t="s">
        <v>79</v>
      </c>
      <c r="E159" t="s">
        <v>349</v>
      </c>
      <c r="F159" t="s">
        <v>307</v>
      </c>
      <c r="G159" t="s">
        <v>357</v>
      </c>
      <c r="H159" t="s">
        <v>338</v>
      </c>
      <c r="I159" t="s">
        <v>358</v>
      </c>
      <c r="J159">
        <v>44</v>
      </c>
      <c r="K159">
        <v>12</v>
      </c>
      <c r="L159">
        <v>0</v>
      </c>
    </row>
    <row r="160" spans="1:12" x14ac:dyDescent="0.25">
      <c r="A160" t="s">
        <v>469</v>
      </c>
      <c r="B160" t="s">
        <v>470</v>
      </c>
      <c r="C160" t="s">
        <v>78</v>
      </c>
      <c r="D160" t="s">
        <v>79</v>
      </c>
      <c r="E160" t="s">
        <v>349</v>
      </c>
      <c r="F160" t="s">
        <v>307</v>
      </c>
      <c r="G160" t="s">
        <v>357</v>
      </c>
      <c r="H160" t="s">
        <v>338</v>
      </c>
      <c r="I160" t="s">
        <v>358</v>
      </c>
      <c r="J160">
        <v>22</v>
      </c>
      <c r="K160">
        <v>6</v>
      </c>
      <c r="L160">
        <v>0</v>
      </c>
    </row>
    <row r="161" spans="1:12" x14ac:dyDescent="0.25">
      <c r="A161" t="s">
        <v>471</v>
      </c>
      <c r="B161" t="s">
        <v>472</v>
      </c>
      <c r="C161" t="s">
        <v>78</v>
      </c>
      <c r="D161" t="s">
        <v>79</v>
      </c>
      <c r="E161" t="s">
        <v>349</v>
      </c>
      <c r="F161" t="s">
        <v>307</v>
      </c>
      <c r="G161" t="s">
        <v>357</v>
      </c>
      <c r="H161" t="s">
        <v>338</v>
      </c>
      <c r="I161" t="s">
        <v>358</v>
      </c>
      <c r="J161">
        <v>22</v>
      </c>
      <c r="K161">
        <v>12</v>
      </c>
      <c r="L161">
        <v>0</v>
      </c>
    </row>
    <row r="162" spans="1:12" x14ac:dyDescent="0.25">
      <c r="A162" t="s">
        <v>473</v>
      </c>
      <c r="B162" t="s">
        <v>474</v>
      </c>
      <c r="C162" t="s">
        <v>78</v>
      </c>
      <c r="D162" t="s">
        <v>79</v>
      </c>
      <c r="E162" t="s">
        <v>349</v>
      </c>
      <c r="F162" t="s">
        <v>307</v>
      </c>
      <c r="G162" t="s">
        <v>357</v>
      </c>
      <c r="H162" t="s">
        <v>338</v>
      </c>
      <c r="I162" t="s">
        <v>358</v>
      </c>
      <c r="J162">
        <v>22</v>
      </c>
      <c r="K162">
        <v>6</v>
      </c>
      <c r="L162">
        <v>0</v>
      </c>
    </row>
    <row r="163" spans="1:12" x14ac:dyDescent="0.25">
      <c r="A163" t="s">
        <v>475</v>
      </c>
      <c r="B163" t="s">
        <v>165</v>
      </c>
      <c r="C163" t="s">
        <v>78</v>
      </c>
      <c r="D163" t="s">
        <v>79</v>
      </c>
      <c r="E163" t="s">
        <v>321</v>
      </c>
      <c r="F163" t="s">
        <v>307</v>
      </c>
      <c r="G163" t="s">
        <v>321</v>
      </c>
      <c r="H163" t="s">
        <v>322</v>
      </c>
      <c r="I163" t="s">
        <v>324</v>
      </c>
      <c r="J163">
        <v>44</v>
      </c>
      <c r="K163">
        <v>36</v>
      </c>
      <c r="L163">
        <v>0</v>
      </c>
    </row>
    <row r="164" spans="1:12" x14ac:dyDescent="0.25">
      <c r="A164" t="s">
        <v>476</v>
      </c>
      <c r="B164" t="s">
        <v>167</v>
      </c>
      <c r="C164" t="s">
        <v>78</v>
      </c>
      <c r="D164" t="s">
        <v>79</v>
      </c>
      <c r="E164" t="s">
        <v>321</v>
      </c>
      <c r="F164" t="s">
        <v>307</v>
      </c>
      <c r="G164" t="s">
        <v>321</v>
      </c>
      <c r="H164" t="s">
        <v>322</v>
      </c>
      <c r="I164" t="s">
        <v>323</v>
      </c>
      <c r="J164">
        <v>44</v>
      </c>
      <c r="K164">
        <v>24</v>
      </c>
      <c r="L164">
        <v>0</v>
      </c>
    </row>
    <row r="165" spans="1:12" x14ac:dyDescent="0.25">
      <c r="A165" t="s">
        <v>477</v>
      </c>
      <c r="B165" t="s">
        <v>248</v>
      </c>
      <c r="C165" t="s">
        <v>78</v>
      </c>
      <c r="D165" t="s">
        <v>79</v>
      </c>
      <c r="E165" t="s">
        <v>321</v>
      </c>
      <c r="F165" t="s">
        <v>307</v>
      </c>
      <c r="G165" t="s">
        <v>321</v>
      </c>
      <c r="H165" t="s">
        <v>322</v>
      </c>
      <c r="I165" t="s">
        <v>324</v>
      </c>
      <c r="J165">
        <v>44</v>
      </c>
      <c r="K165">
        <v>36</v>
      </c>
      <c r="L165">
        <v>0</v>
      </c>
    </row>
    <row r="166" spans="1:12" x14ac:dyDescent="0.25">
      <c r="A166" t="s">
        <v>478</v>
      </c>
      <c r="B166" t="s">
        <v>169</v>
      </c>
      <c r="C166" t="s">
        <v>78</v>
      </c>
      <c r="D166" t="s">
        <v>79</v>
      </c>
      <c r="E166" t="s">
        <v>321</v>
      </c>
      <c r="F166" t="s">
        <v>307</v>
      </c>
      <c r="G166" t="s">
        <v>321</v>
      </c>
      <c r="H166" t="s">
        <v>322</v>
      </c>
      <c r="I166" t="s">
        <v>323</v>
      </c>
      <c r="J166">
        <v>44</v>
      </c>
      <c r="K166">
        <v>24</v>
      </c>
      <c r="L166">
        <v>0</v>
      </c>
    </row>
    <row r="167" spans="1:12" x14ac:dyDescent="0.25">
      <c r="A167" t="s">
        <v>479</v>
      </c>
      <c r="B167" t="s">
        <v>250</v>
      </c>
      <c r="C167" t="s">
        <v>78</v>
      </c>
      <c r="D167" t="s">
        <v>79</v>
      </c>
      <c r="E167" t="s">
        <v>321</v>
      </c>
      <c r="F167" t="s">
        <v>307</v>
      </c>
      <c r="G167" t="s">
        <v>321</v>
      </c>
      <c r="H167" t="s">
        <v>322</v>
      </c>
      <c r="I167" t="s">
        <v>324</v>
      </c>
      <c r="J167">
        <v>44</v>
      </c>
      <c r="K167">
        <v>36</v>
      </c>
      <c r="L167">
        <v>0</v>
      </c>
    </row>
    <row r="168" spans="1:12" x14ac:dyDescent="0.25">
      <c r="A168" t="s">
        <v>480</v>
      </c>
      <c r="B168" t="s">
        <v>252</v>
      </c>
      <c r="C168" t="s">
        <v>78</v>
      </c>
      <c r="D168" t="s">
        <v>79</v>
      </c>
      <c r="E168" t="s">
        <v>321</v>
      </c>
      <c r="F168" t="s">
        <v>307</v>
      </c>
      <c r="G168" t="s">
        <v>321</v>
      </c>
      <c r="H168" t="s">
        <v>322</v>
      </c>
      <c r="I168" t="s">
        <v>323</v>
      </c>
      <c r="J168">
        <v>44</v>
      </c>
      <c r="K168">
        <v>24</v>
      </c>
      <c r="L168">
        <v>0</v>
      </c>
    </row>
    <row r="169" spans="1:12" x14ac:dyDescent="0.25">
      <c r="A169" t="s">
        <v>481</v>
      </c>
      <c r="B169" t="s">
        <v>254</v>
      </c>
      <c r="C169" t="s">
        <v>78</v>
      </c>
      <c r="D169" t="s">
        <v>79</v>
      </c>
      <c r="E169" t="s">
        <v>321</v>
      </c>
      <c r="F169" t="s">
        <v>307</v>
      </c>
      <c r="G169" t="s">
        <v>321</v>
      </c>
      <c r="H169" t="s">
        <v>322</v>
      </c>
      <c r="I169" t="s">
        <v>324</v>
      </c>
      <c r="J169">
        <v>44</v>
      </c>
      <c r="K169">
        <v>36</v>
      </c>
      <c r="L169">
        <v>0</v>
      </c>
    </row>
    <row r="170" spans="1:12" x14ac:dyDescent="0.25">
      <c r="A170" t="s">
        <v>482</v>
      </c>
      <c r="B170" t="s">
        <v>326</v>
      </c>
      <c r="C170" t="s">
        <v>78</v>
      </c>
      <c r="D170" t="s">
        <v>79</v>
      </c>
      <c r="E170" t="s">
        <v>321</v>
      </c>
      <c r="F170" t="s">
        <v>307</v>
      </c>
      <c r="G170" t="s">
        <v>321</v>
      </c>
      <c r="H170" t="s">
        <v>322</v>
      </c>
      <c r="I170" t="s">
        <v>323</v>
      </c>
      <c r="J170">
        <v>44</v>
      </c>
      <c r="K170">
        <v>24</v>
      </c>
      <c r="L170">
        <v>0</v>
      </c>
    </row>
  </sheetData>
  <autoFilter ref="A1:M170" xr:uid="{E6ED6206-87B7-4EEB-9789-16A0A8FD3BEB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Linhas Rápidas</vt:lpstr>
      <vt:lpstr>COHVPI</vt:lpstr>
      <vt:lpstr>RUN STRATEGY E PET X PAD</vt:lpstr>
      <vt:lpstr>Análise Gél</vt:lpstr>
      <vt:lpstr>MASTERDATA</vt:lpstr>
      <vt:lpstr>'Linhas Rápidas'!Area_de_impressao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Paula_Araujo@cotyinc.com</dc:creator>
  <cp:lastModifiedBy>Rafaela Borba</cp:lastModifiedBy>
  <cp:lastPrinted>2020-01-31T13:13:59Z</cp:lastPrinted>
  <dcterms:created xsi:type="dcterms:W3CDTF">2017-02-09T15:40:12Z</dcterms:created>
  <dcterms:modified xsi:type="dcterms:W3CDTF">2026-05-08T19:15:01Z</dcterms:modified>
</cp:coreProperties>
</file>