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savoy\"/>
    </mc:Choice>
  </mc:AlternateContent>
  <xr:revisionPtr revIDLastSave="0" documentId="8_{E40A7E84-2C22-4487-8427-C82A074CBA37}" xr6:coauthVersionLast="47" xr6:coauthVersionMax="47" xr10:uidLastSave="{00000000-0000-0000-0000-000000000000}"/>
  <bookViews>
    <workbookView xWindow="-120" yWindow="-120" windowWidth="29040" windowHeight="15720" xr2:uid="{6F5FE1D3-18F8-4EAE-8544-0522DDAC4D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D80" i="1"/>
  <c r="D79" i="1"/>
  <c r="D77" i="1"/>
  <c r="E69" i="1"/>
  <c r="D69" i="1"/>
  <c r="E65" i="1"/>
  <c r="D65" i="1"/>
  <c r="E62" i="1"/>
  <c r="D62" i="1"/>
  <c r="E58" i="1"/>
  <c r="D58" i="1"/>
  <c r="E49" i="1"/>
  <c r="D49" i="1"/>
  <c r="E45" i="1"/>
  <c r="D45" i="1"/>
  <c r="E40" i="1"/>
  <c r="D40" i="1"/>
  <c r="E32" i="1"/>
  <c r="E29" i="1"/>
  <c r="D27" i="1"/>
  <c r="D26" i="1"/>
  <c r="E23" i="1"/>
  <c r="D23" i="1" s="1"/>
  <c r="E20" i="1"/>
  <c r="D20" i="1" s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<sst xmlns="http://schemas.openxmlformats.org/spreadsheetml/2006/main" count="94" uniqueCount="40">
  <si>
    <t>LINHA 08 - GEL BOCA LARGA</t>
  </si>
  <si>
    <t>CÓDIGO P.A.</t>
  </si>
  <si>
    <t>DESCRIÇÃO P.A.</t>
  </si>
  <si>
    <t>Nº ORDEM</t>
  </si>
  <si>
    <t>QTD (CXS)</t>
  </si>
  <si>
    <t>QTD (UND)</t>
  </si>
  <si>
    <t>LINHA 09 - GEL BOCA ESTREITA</t>
  </si>
  <si>
    <t>23484-0</t>
  </si>
  <si>
    <t>NYLOOKS GEL COND GAR FAT4 12X240G</t>
  </si>
  <si>
    <t>LINHA 10 - SHAMPOO E CONDICIONADOR</t>
  </si>
  <si>
    <t>26289-0</t>
  </si>
  <si>
    <t>BOZZANO SHAMPOO ANTICASPA 12X325ML</t>
  </si>
  <si>
    <t>SETUP PARA BOZZANO 200ML - 1 TURNO</t>
  </si>
  <si>
    <t>26288-0</t>
  </si>
  <si>
    <t>BOZZANO SHAMPOO ANTICASPA 12X200ML</t>
  </si>
  <si>
    <t>26290-0</t>
  </si>
  <si>
    <t>BOZZANO SHAMPOO ANTIQUEDA 12X200ML</t>
  </si>
  <si>
    <t>LIMPEZA PARA MONANGE COND 200ML</t>
  </si>
  <si>
    <t>SA MONANGE COND LISOS 170ML</t>
  </si>
  <si>
    <t>-</t>
  </si>
  <si>
    <t>SA MONANGE COND HIDRAT 170ML</t>
  </si>
  <si>
    <t>LINHA 12 - HIDRATANTE PAIXÃO</t>
  </si>
  <si>
    <t>18000-4</t>
  </si>
  <si>
    <t>PAIXAO DEO LOCAO IRRES FLOR LIS 12X400ML</t>
  </si>
  <si>
    <t>SETUP PARA PEAD 200ML</t>
  </si>
  <si>
    <t>25106-0</t>
  </si>
  <si>
    <t>PAIXAO DEO LOCAO AVELA 24X200ML</t>
  </si>
  <si>
    <t>LINHA 13 - HIDRA MONANGE 200ML e 400ml // SABONETE LÍQUIDO</t>
  </si>
  <si>
    <t>SET UP PARA PETRI 400ML - 1 TURNO</t>
  </si>
  <si>
    <t>26569-1</t>
  </si>
  <si>
    <t>MONANGE DEO CORP HIDR FR VER 12X400ML PT</t>
  </si>
  <si>
    <t>26566-1</t>
  </si>
  <si>
    <t>MONANGE DEO CORP HIDR FL LAV 12X400ML PT</t>
  </si>
  <si>
    <t>LINHA 55 - ÓLEO PAIXÃO / CPP</t>
  </si>
  <si>
    <t>25103-0</t>
  </si>
  <si>
    <t>PAIXAO DEO OLEO FRAMBOESA NEGR 24X100ML</t>
  </si>
  <si>
    <t>20464-1</t>
  </si>
  <si>
    <t>PAIXAO DEO OLEO TENT AMEIXA RU 24X100ML</t>
  </si>
  <si>
    <t>20462-1</t>
  </si>
  <si>
    <t>PAIXAO DEO OLEO AVELA 24X100ML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</si>
</sst>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0"/>
      <color rgb="FFFFFFFF"/>
      <name val="Calibri Light"/>
      <family val="2"/>
    </font>
    <font>
      <b/>
      <sz val="12"/>
      <color rgb="FF1F4E78"/>
      <name val="Calibri Light"/>
      <family val="2"/>
    </font>
    <font>
      <sz val="12"/>
      <color rgb="FFFF0000"/>
      <name val="Calibri Light"/>
      <family val="2"/>
    </font>
    <font>
      <sz val="12"/>
      <name val="Calibri Light"/>
      <family val="2"/>
    </font>
    <font>
      <b/>
      <sz val="12"/>
      <name val="Calibri Light"/>
      <family val="2"/>
    </font>
    <font>
      <sz val="12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3" fontId="4" fillId="4" borderId="12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quotePrefix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3" fontId="4" fillId="0" borderId="16" xfId="0" applyNumberFormat="1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quotePrefix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3" fontId="4" fillId="0" borderId="16" xfId="0" applyNumberFormat="1" applyFont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 wrapText="1"/>
    </xf>
    <xf numFmtId="3" fontId="6" fillId="0" borderId="23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3" fontId="4" fillId="5" borderId="14" xfId="0" applyNumberFormat="1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3" fontId="4" fillId="5" borderId="16" xfId="0" applyNumberFormat="1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AA30-E862-496D-BC36-9A5D565327E4}">
  <dimension ref="A1:E82"/>
  <sheetViews>
    <sheetView tabSelected="1" workbookViewId="0">
      <selection activeCell="G53" sqref="G53"/>
    </sheetView>
  </sheetViews>
  <sheetFormatPr defaultRowHeight="15" x14ac:dyDescent="0.25"/>
  <cols>
    <col min="1" max="1" width="8.5703125" bestFit="1" customWidth="1"/>
    <col min="2" max="2" width="48.42578125" bestFit="1" customWidth="1"/>
    <col min="3" max="3" width="9" bestFit="1" customWidth="1"/>
    <col min="4" max="4" width="6.85546875" bestFit="1" customWidth="1"/>
    <col min="5" max="5" width="8.42578125" bestFit="1" customWidth="1"/>
  </cols>
  <sheetData>
    <row r="1" spans="1:5" ht="27" thickBot="1" x14ac:dyDescent="0.3">
      <c r="A1" s="1" t="s">
        <v>0</v>
      </c>
      <c r="B1" s="2"/>
      <c r="C1" s="2"/>
      <c r="D1" s="2"/>
      <c r="E1" s="2"/>
    </row>
    <row r="2" spans="1:5" ht="47.25" x14ac:dyDescent="0.2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</row>
    <row r="3" spans="1:5" ht="16.5" thickBot="1" x14ac:dyDescent="0.3">
      <c r="A3" s="7"/>
      <c r="B3" s="8"/>
      <c r="C3" s="9"/>
      <c r="D3" s="10"/>
      <c r="E3" s="11"/>
    </row>
    <row r="4" spans="1:5" ht="16.5" thickBot="1" x14ac:dyDescent="0.3">
      <c r="A4" s="12"/>
      <c r="B4" s="12"/>
      <c r="C4" s="13"/>
      <c r="D4" s="14"/>
      <c r="E4" s="14"/>
    </row>
    <row r="5" spans="1:5" ht="27" thickBot="1" x14ac:dyDescent="0.3">
      <c r="A5" s="15" t="s">
        <v>6</v>
      </c>
      <c r="B5" s="16"/>
      <c r="C5" s="16"/>
      <c r="D5" s="16"/>
      <c r="E5" s="16"/>
    </row>
    <row r="6" spans="1:5" ht="47.25" x14ac:dyDescent="0.25">
      <c r="A6" s="3" t="s">
        <v>1</v>
      </c>
      <c r="B6" s="4" t="s">
        <v>2</v>
      </c>
      <c r="C6" s="5" t="s">
        <v>3</v>
      </c>
      <c r="D6" s="6" t="s">
        <v>4</v>
      </c>
      <c r="E6" s="6" t="s">
        <v>5</v>
      </c>
    </row>
    <row r="7" spans="1:5" ht="15.75" x14ac:dyDescent="0.25">
      <c r="A7" s="17" t="s">
        <v>7</v>
      </c>
      <c r="B7" s="18" t="s">
        <v>8</v>
      </c>
      <c r="C7" s="19">
        <v>1964091</v>
      </c>
      <c r="D7" s="20">
        <f t="shared" ref="D7:D15" si="0">E7/12</f>
        <v>3053.5</v>
      </c>
      <c r="E7" s="21">
        <v>36642</v>
      </c>
    </row>
    <row r="8" spans="1:5" ht="15.75" x14ac:dyDescent="0.25">
      <c r="A8" s="17" t="s">
        <v>7</v>
      </c>
      <c r="B8" s="18" t="s">
        <v>8</v>
      </c>
      <c r="C8" s="19">
        <v>1964092</v>
      </c>
      <c r="D8" s="20">
        <f t="shared" si="0"/>
        <v>3053.5</v>
      </c>
      <c r="E8" s="21">
        <v>36642</v>
      </c>
    </row>
    <row r="9" spans="1:5" ht="15.75" x14ac:dyDescent="0.25">
      <c r="A9" s="17" t="s">
        <v>7</v>
      </c>
      <c r="B9" s="18" t="s">
        <v>8</v>
      </c>
      <c r="C9" s="19">
        <v>1964093</v>
      </c>
      <c r="D9" s="20">
        <f t="shared" si="0"/>
        <v>3053.5</v>
      </c>
      <c r="E9" s="21">
        <v>36642</v>
      </c>
    </row>
    <row r="10" spans="1:5" ht="15.75" x14ac:dyDescent="0.25">
      <c r="A10" s="17" t="s">
        <v>7</v>
      </c>
      <c r="B10" s="18" t="s">
        <v>8</v>
      </c>
      <c r="C10" s="19">
        <v>1964094</v>
      </c>
      <c r="D10" s="20">
        <f t="shared" si="0"/>
        <v>3053.5</v>
      </c>
      <c r="E10" s="21">
        <v>36642</v>
      </c>
    </row>
    <row r="11" spans="1:5" ht="15.75" x14ac:dyDescent="0.25">
      <c r="A11" s="17" t="s">
        <v>7</v>
      </c>
      <c r="B11" s="18" t="s">
        <v>8</v>
      </c>
      <c r="C11" s="19">
        <v>1964095</v>
      </c>
      <c r="D11" s="20">
        <f t="shared" si="0"/>
        <v>3053.5</v>
      </c>
      <c r="E11" s="21">
        <v>36642</v>
      </c>
    </row>
    <row r="12" spans="1:5" ht="15.75" x14ac:dyDescent="0.25">
      <c r="A12" s="17" t="s">
        <v>7</v>
      </c>
      <c r="B12" s="18" t="s">
        <v>8</v>
      </c>
      <c r="C12" s="19">
        <v>1964491</v>
      </c>
      <c r="D12" s="20">
        <f t="shared" si="0"/>
        <v>3053.5</v>
      </c>
      <c r="E12" s="21">
        <v>36642</v>
      </c>
    </row>
    <row r="13" spans="1:5" ht="15.75" x14ac:dyDescent="0.25">
      <c r="A13" s="17" t="s">
        <v>7</v>
      </c>
      <c r="B13" s="18" t="s">
        <v>8</v>
      </c>
      <c r="C13" s="19">
        <v>1964488</v>
      </c>
      <c r="D13" s="20">
        <f t="shared" si="0"/>
        <v>3053.5</v>
      </c>
      <c r="E13" s="21">
        <v>36642</v>
      </c>
    </row>
    <row r="14" spans="1:5" ht="15.75" x14ac:dyDescent="0.25">
      <c r="A14" s="17" t="s">
        <v>7</v>
      </c>
      <c r="B14" s="18" t="s">
        <v>8</v>
      </c>
      <c r="C14" s="19">
        <v>1964489</v>
      </c>
      <c r="D14" s="20">
        <f t="shared" si="0"/>
        <v>3053.5</v>
      </c>
      <c r="E14" s="21">
        <v>36642</v>
      </c>
    </row>
    <row r="15" spans="1:5" ht="15.75" x14ac:dyDescent="0.25">
      <c r="A15" s="17" t="s">
        <v>7</v>
      </c>
      <c r="B15" s="18" t="s">
        <v>8</v>
      </c>
      <c r="C15" s="19">
        <v>1964490</v>
      </c>
      <c r="D15" s="20">
        <f t="shared" si="0"/>
        <v>3053.5</v>
      </c>
      <c r="E15" s="21">
        <v>36642</v>
      </c>
    </row>
    <row r="16" spans="1:5" ht="15.75" x14ac:dyDescent="0.25">
      <c r="A16" s="22"/>
      <c r="B16" s="23"/>
      <c r="C16" s="24"/>
      <c r="D16" s="25"/>
      <c r="E16" s="25"/>
    </row>
    <row r="17" spans="1:5" ht="16.5" thickBot="1" x14ac:dyDescent="0.3">
      <c r="A17" s="7"/>
      <c r="B17" s="8"/>
      <c r="C17" s="9"/>
      <c r="D17" s="10"/>
      <c r="E17" s="11"/>
    </row>
    <row r="18" spans="1:5" ht="27" thickBot="1" x14ac:dyDescent="0.3">
      <c r="A18" s="15" t="s">
        <v>9</v>
      </c>
      <c r="B18" s="16"/>
      <c r="C18" s="16"/>
      <c r="D18" s="16"/>
      <c r="E18" s="16"/>
    </row>
    <row r="19" spans="1:5" ht="47.25" x14ac:dyDescent="0.25">
      <c r="A19" s="3" t="s">
        <v>1</v>
      </c>
      <c r="B19" s="4" t="s">
        <v>2</v>
      </c>
      <c r="C19" s="5" t="s">
        <v>3</v>
      </c>
      <c r="D19" s="6" t="s">
        <v>4</v>
      </c>
      <c r="E19" s="6" t="s">
        <v>5</v>
      </c>
    </row>
    <row r="20" spans="1:5" x14ac:dyDescent="0.25">
      <c r="A20" s="26" t="s">
        <v>10</v>
      </c>
      <c r="B20" s="27" t="s">
        <v>11</v>
      </c>
      <c r="C20" s="28">
        <v>1961398</v>
      </c>
      <c r="D20" s="29">
        <f>E20/12</f>
        <v>7200</v>
      </c>
      <c r="E20" s="29">
        <f>28800*3</f>
        <v>86400</v>
      </c>
    </row>
    <row r="21" spans="1:5" x14ac:dyDescent="0.25">
      <c r="A21" s="30"/>
      <c r="B21" s="31"/>
      <c r="C21" s="32"/>
      <c r="D21" s="33"/>
      <c r="E21" s="33"/>
    </row>
    <row r="22" spans="1:5" x14ac:dyDescent="0.25">
      <c r="A22" s="34"/>
      <c r="B22" s="35"/>
      <c r="C22" s="36"/>
      <c r="D22" s="37"/>
      <c r="E22" s="37"/>
    </row>
    <row r="23" spans="1:5" x14ac:dyDescent="0.25">
      <c r="A23" s="26" t="s">
        <v>10</v>
      </c>
      <c r="B23" s="27" t="s">
        <v>11</v>
      </c>
      <c r="C23" s="28">
        <v>1961402</v>
      </c>
      <c r="D23" s="29">
        <f>E23/12</f>
        <v>4800</v>
      </c>
      <c r="E23" s="29">
        <f>28800*2</f>
        <v>57600</v>
      </c>
    </row>
    <row r="24" spans="1:5" x14ac:dyDescent="0.25">
      <c r="A24" s="30"/>
      <c r="B24" s="38"/>
      <c r="C24" s="32"/>
      <c r="D24" s="33"/>
      <c r="E24" s="33"/>
    </row>
    <row r="25" spans="1:5" ht="15.75" x14ac:dyDescent="0.25">
      <c r="A25" s="39" t="s">
        <v>12</v>
      </c>
      <c r="B25" s="40"/>
      <c r="C25" s="40"/>
      <c r="D25" s="40"/>
      <c r="E25" s="40"/>
    </row>
    <row r="26" spans="1:5" ht="15.75" x14ac:dyDescent="0.25">
      <c r="A26" s="41" t="s">
        <v>13</v>
      </c>
      <c r="B26" s="42" t="s">
        <v>14</v>
      </c>
      <c r="C26" s="43">
        <v>1961400</v>
      </c>
      <c r="D26" s="44">
        <f>E26/12</f>
        <v>3958.3333333333335</v>
      </c>
      <c r="E26" s="21">
        <v>47500</v>
      </c>
    </row>
    <row r="27" spans="1:5" ht="15.75" x14ac:dyDescent="0.25">
      <c r="A27" s="17" t="s">
        <v>15</v>
      </c>
      <c r="B27" s="45" t="s">
        <v>16</v>
      </c>
      <c r="C27" s="19">
        <v>1961401</v>
      </c>
      <c r="D27" s="21">
        <f>E27/12</f>
        <v>3958.3333333333335</v>
      </c>
      <c r="E27" s="44">
        <v>47500</v>
      </c>
    </row>
    <row r="28" spans="1:5" ht="15.75" x14ac:dyDescent="0.25">
      <c r="A28" s="39" t="s">
        <v>17</v>
      </c>
      <c r="B28" s="40"/>
      <c r="C28" s="40"/>
      <c r="D28" s="40"/>
      <c r="E28" s="40"/>
    </row>
    <row r="29" spans="1:5" x14ac:dyDescent="0.25">
      <c r="A29" s="26">
        <v>469936</v>
      </c>
      <c r="B29" s="27" t="s">
        <v>18</v>
      </c>
      <c r="C29" s="28">
        <v>1964046</v>
      </c>
      <c r="D29" s="29" t="s">
        <v>19</v>
      </c>
      <c r="E29" s="29">
        <f>55882*3</f>
        <v>167646</v>
      </c>
    </row>
    <row r="30" spans="1:5" x14ac:dyDescent="0.25">
      <c r="A30" s="30"/>
      <c r="B30" s="31"/>
      <c r="C30" s="32"/>
      <c r="D30" s="33"/>
      <c r="E30" s="33"/>
    </row>
    <row r="31" spans="1:5" x14ac:dyDescent="0.25">
      <c r="A31" s="34"/>
      <c r="B31" s="35"/>
      <c r="C31" s="36"/>
      <c r="D31" s="37"/>
      <c r="E31" s="37"/>
    </row>
    <row r="32" spans="1:5" x14ac:dyDescent="0.25">
      <c r="A32" s="26">
        <v>469935</v>
      </c>
      <c r="B32" s="27" t="s">
        <v>20</v>
      </c>
      <c r="C32" s="28">
        <v>1964047</v>
      </c>
      <c r="D32" s="29" t="s">
        <v>19</v>
      </c>
      <c r="E32" s="29">
        <f>55882*3</f>
        <v>167646</v>
      </c>
    </row>
    <row r="33" spans="1:5" x14ac:dyDescent="0.25">
      <c r="A33" s="30"/>
      <c r="B33" s="31"/>
      <c r="C33" s="32"/>
      <c r="D33" s="33"/>
      <c r="E33" s="33"/>
    </row>
    <row r="34" spans="1:5" x14ac:dyDescent="0.25">
      <c r="A34" s="34"/>
      <c r="B34" s="35"/>
      <c r="C34" s="36"/>
      <c r="D34" s="37"/>
      <c r="E34" s="37"/>
    </row>
    <row r="35" spans="1:5" ht="16.5" thickBot="1" x14ac:dyDescent="0.3">
      <c r="A35" s="46"/>
      <c r="B35" s="47"/>
      <c r="C35" s="48"/>
      <c r="D35" s="49"/>
      <c r="E35" s="49"/>
    </row>
    <row r="36" spans="1:5" ht="15.75" x14ac:dyDescent="0.25">
      <c r="A36" s="50"/>
      <c r="B36" s="51"/>
      <c r="C36" s="50"/>
      <c r="D36" s="52"/>
      <c r="E36" s="52"/>
    </row>
    <row r="37" spans="1:5" ht="16.5" thickBot="1" x14ac:dyDescent="0.3">
      <c r="A37" s="53"/>
      <c r="B37" s="53"/>
      <c r="C37" s="53"/>
      <c r="D37" s="54"/>
      <c r="E37" s="54"/>
    </row>
    <row r="38" spans="1:5" ht="27" thickBot="1" x14ac:dyDescent="0.3">
      <c r="A38" s="1" t="s">
        <v>21</v>
      </c>
      <c r="B38" s="2"/>
      <c r="C38" s="2"/>
      <c r="D38" s="2"/>
      <c r="E38" s="2"/>
    </row>
    <row r="39" spans="1:5" ht="47.25" x14ac:dyDescent="0.25">
      <c r="A39" s="3" t="s">
        <v>1</v>
      </c>
      <c r="B39" s="4" t="s">
        <v>2</v>
      </c>
      <c r="C39" s="5" t="s">
        <v>3</v>
      </c>
      <c r="D39" s="6" t="s">
        <v>4</v>
      </c>
      <c r="E39" s="6" t="s">
        <v>5</v>
      </c>
    </row>
    <row r="40" spans="1:5" x14ac:dyDescent="0.25">
      <c r="A40" s="26" t="s">
        <v>22</v>
      </c>
      <c r="B40" s="55" t="s">
        <v>23</v>
      </c>
      <c r="C40" s="28">
        <v>1961445</v>
      </c>
      <c r="D40" s="29">
        <f>E40/12</f>
        <v>7805.666666666667</v>
      </c>
      <c r="E40" s="29">
        <f>23417*4</f>
        <v>93668</v>
      </c>
    </row>
    <row r="41" spans="1:5" x14ac:dyDescent="0.25">
      <c r="A41" s="30"/>
      <c r="B41" s="31"/>
      <c r="C41" s="32"/>
      <c r="D41" s="33"/>
      <c r="E41" s="33"/>
    </row>
    <row r="42" spans="1:5" x14ac:dyDescent="0.25">
      <c r="A42" s="30"/>
      <c r="B42" s="31"/>
      <c r="C42" s="32"/>
      <c r="D42" s="33"/>
      <c r="E42" s="33"/>
    </row>
    <row r="43" spans="1:5" x14ac:dyDescent="0.25">
      <c r="A43" s="34"/>
      <c r="B43" s="35"/>
      <c r="C43" s="36"/>
      <c r="D43" s="37"/>
      <c r="E43" s="37"/>
    </row>
    <row r="44" spans="1:5" ht="15.75" x14ac:dyDescent="0.25">
      <c r="A44" s="39" t="s">
        <v>24</v>
      </c>
      <c r="B44" s="40"/>
      <c r="C44" s="40"/>
      <c r="D44" s="40"/>
      <c r="E44" s="40"/>
    </row>
    <row r="45" spans="1:5" x14ac:dyDescent="0.25">
      <c r="A45" s="26" t="s">
        <v>25</v>
      </c>
      <c r="B45" s="55" t="s">
        <v>26</v>
      </c>
      <c r="C45" s="28">
        <v>1964109</v>
      </c>
      <c r="D45" s="29">
        <f>E45/24</f>
        <v>7829.5</v>
      </c>
      <c r="E45" s="29">
        <f>46977*4</f>
        <v>187908</v>
      </c>
    </row>
    <row r="46" spans="1:5" x14ac:dyDescent="0.25">
      <c r="A46" s="30"/>
      <c r="B46" s="31"/>
      <c r="C46" s="32"/>
      <c r="D46" s="33"/>
      <c r="E46" s="33"/>
    </row>
    <row r="47" spans="1:5" x14ac:dyDescent="0.25">
      <c r="A47" s="30"/>
      <c r="B47" s="31"/>
      <c r="C47" s="32"/>
      <c r="D47" s="33"/>
      <c r="E47" s="33"/>
    </row>
    <row r="48" spans="1:5" x14ac:dyDescent="0.25">
      <c r="A48" s="34"/>
      <c r="B48" s="35"/>
      <c r="C48" s="36"/>
      <c r="D48" s="37"/>
      <c r="E48" s="37"/>
    </row>
    <row r="49" spans="1:5" x14ac:dyDescent="0.25">
      <c r="A49" s="26" t="s">
        <v>25</v>
      </c>
      <c r="B49" s="55" t="s">
        <v>26</v>
      </c>
      <c r="C49" s="28">
        <v>1964110</v>
      </c>
      <c r="D49" s="29">
        <f>E49/24</f>
        <v>7829.5</v>
      </c>
      <c r="E49" s="29">
        <f>46977*4</f>
        <v>187908</v>
      </c>
    </row>
    <row r="50" spans="1:5" x14ac:dyDescent="0.25">
      <c r="A50" s="30"/>
      <c r="B50" s="31"/>
      <c r="C50" s="32"/>
      <c r="D50" s="33"/>
      <c r="E50" s="33"/>
    </row>
    <row r="51" spans="1:5" x14ac:dyDescent="0.25">
      <c r="A51" s="30"/>
      <c r="B51" s="31"/>
      <c r="C51" s="32"/>
      <c r="D51" s="33"/>
      <c r="E51" s="33"/>
    </row>
    <row r="52" spans="1:5" x14ac:dyDescent="0.25">
      <c r="A52" s="34"/>
      <c r="B52" s="35"/>
      <c r="C52" s="36"/>
      <c r="D52" s="37"/>
      <c r="E52" s="37"/>
    </row>
    <row r="53" spans="1:5" ht="16.5" thickBot="1" x14ac:dyDescent="0.3">
      <c r="A53" s="56"/>
      <c r="B53" s="57"/>
      <c r="C53" s="58"/>
      <c r="D53" s="59"/>
      <c r="E53" s="60"/>
    </row>
    <row r="54" spans="1:5" ht="16.5" thickBot="1" x14ac:dyDescent="0.3">
      <c r="A54" s="61"/>
      <c r="B54" s="61"/>
      <c r="C54" s="62"/>
      <c r="D54" s="63"/>
      <c r="E54" s="63"/>
    </row>
    <row r="55" spans="1:5" ht="27" thickBot="1" x14ac:dyDescent="0.3">
      <c r="A55" s="1" t="s">
        <v>27</v>
      </c>
      <c r="B55" s="2"/>
      <c r="C55" s="2"/>
      <c r="D55" s="2"/>
      <c r="E55" s="2"/>
    </row>
    <row r="56" spans="1:5" ht="47.25" x14ac:dyDescent="0.25">
      <c r="A56" s="3" t="s">
        <v>1</v>
      </c>
      <c r="B56" s="4" t="s">
        <v>2</v>
      </c>
      <c r="C56" s="5" t="s">
        <v>3</v>
      </c>
      <c r="D56" s="6" t="s">
        <v>4</v>
      </c>
      <c r="E56" s="6" t="s">
        <v>5</v>
      </c>
    </row>
    <row r="57" spans="1:5" ht="15.75" x14ac:dyDescent="0.25">
      <c r="A57" s="39" t="s">
        <v>28</v>
      </c>
      <c r="B57" s="40"/>
      <c r="C57" s="40"/>
      <c r="D57" s="40"/>
      <c r="E57" s="40"/>
    </row>
    <row r="58" spans="1:5" x14ac:dyDescent="0.25">
      <c r="A58" s="64" t="s">
        <v>29</v>
      </c>
      <c r="B58" s="65" t="s">
        <v>30</v>
      </c>
      <c r="C58" s="66">
        <v>1961455</v>
      </c>
      <c r="D58" s="29">
        <f>E58/12</f>
        <v>8333.3333333333339</v>
      </c>
      <c r="E58" s="29">
        <f>25000*4</f>
        <v>100000</v>
      </c>
    </row>
    <row r="59" spans="1:5" x14ac:dyDescent="0.25">
      <c r="A59" s="67"/>
      <c r="B59" s="68"/>
      <c r="C59" s="69"/>
      <c r="D59" s="33"/>
      <c r="E59" s="33"/>
    </row>
    <row r="60" spans="1:5" x14ac:dyDescent="0.25">
      <c r="A60" s="67"/>
      <c r="B60" s="68"/>
      <c r="C60" s="69"/>
      <c r="D60" s="33"/>
      <c r="E60" s="33"/>
    </row>
    <row r="61" spans="1:5" x14ac:dyDescent="0.25">
      <c r="A61" s="70"/>
      <c r="B61" s="71"/>
      <c r="C61" s="72"/>
      <c r="D61" s="37"/>
      <c r="E61" s="37"/>
    </row>
    <row r="62" spans="1:5" x14ac:dyDescent="0.25">
      <c r="A62" s="73" t="s">
        <v>29</v>
      </c>
      <c r="B62" s="74" t="s">
        <v>30</v>
      </c>
      <c r="C62" s="75">
        <v>1962566</v>
      </c>
      <c r="D62" s="76">
        <f>E62/12</f>
        <v>6250</v>
      </c>
      <c r="E62" s="76">
        <f>25000*3</f>
        <v>75000</v>
      </c>
    </row>
    <row r="63" spans="1:5" x14ac:dyDescent="0.25">
      <c r="A63" s="77"/>
      <c r="B63" s="78"/>
      <c r="C63" s="79"/>
      <c r="D63" s="80"/>
      <c r="E63" s="80"/>
    </row>
    <row r="64" spans="1:5" x14ac:dyDescent="0.25">
      <c r="A64" s="77"/>
      <c r="B64" s="78"/>
      <c r="C64" s="79"/>
      <c r="D64" s="80"/>
      <c r="E64" s="80"/>
    </row>
    <row r="65" spans="1:5" x14ac:dyDescent="0.25">
      <c r="A65" s="64" t="s">
        <v>31</v>
      </c>
      <c r="B65" s="65" t="s">
        <v>32</v>
      </c>
      <c r="C65" s="66">
        <v>1961466</v>
      </c>
      <c r="D65" s="29">
        <f>E65/12</f>
        <v>8333.3333333333339</v>
      </c>
      <c r="E65" s="29">
        <f>25000*4</f>
        <v>100000</v>
      </c>
    </row>
    <row r="66" spans="1:5" x14ac:dyDescent="0.25">
      <c r="A66" s="67"/>
      <c r="B66" s="68"/>
      <c r="C66" s="69"/>
      <c r="D66" s="33"/>
      <c r="E66" s="33"/>
    </row>
    <row r="67" spans="1:5" x14ac:dyDescent="0.25">
      <c r="A67" s="67"/>
      <c r="B67" s="68"/>
      <c r="C67" s="69"/>
      <c r="D67" s="33"/>
      <c r="E67" s="33"/>
    </row>
    <row r="68" spans="1:5" x14ac:dyDescent="0.25">
      <c r="A68" s="70"/>
      <c r="B68" s="71"/>
      <c r="C68" s="72"/>
      <c r="D68" s="37"/>
      <c r="E68" s="37"/>
    </row>
    <row r="69" spans="1:5" x14ac:dyDescent="0.25">
      <c r="A69" s="64" t="s">
        <v>31</v>
      </c>
      <c r="B69" s="65" t="s">
        <v>32</v>
      </c>
      <c r="C69" s="66">
        <v>1964222</v>
      </c>
      <c r="D69" s="29">
        <f>E69/12</f>
        <v>8333.3333333333339</v>
      </c>
      <c r="E69" s="29">
        <f>25000*4</f>
        <v>100000</v>
      </c>
    </row>
    <row r="70" spans="1:5" x14ac:dyDescent="0.25">
      <c r="A70" s="67"/>
      <c r="B70" s="68"/>
      <c r="C70" s="69"/>
      <c r="D70" s="33"/>
      <c r="E70" s="33"/>
    </row>
    <row r="71" spans="1:5" x14ac:dyDescent="0.25">
      <c r="A71" s="67"/>
      <c r="B71" s="68"/>
      <c r="C71" s="69"/>
      <c r="D71" s="33"/>
      <c r="E71" s="33"/>
    </row>
    <row r="72" spans="1:5" x14ac:dyDescent="0.25">
      <c r="A72" s="70"/>
      <c r="B72" s="71"/>
      <c r="C72" s="72"/>
      <c r="D72" s="37"/>
      <c r="E72" s="37"/>
    </row>
    <row r="73" spans="1:5" ht="16.5" thickBot="1" x14ac:dyDescent="0.3">
      <c r="A73" s="81"/>
      <c r="B73" s="82"/>
      <c r="C73" s="48"/>
      <c r="D73" s="49"/>
      <c r="E73" s="49"/>
    </row>
    <row r="74" spans="1:5" ht="16.5" thickBot="1" x14ac:dyDescent="0.3">
      <c r="A74" s="61"/>
      <c r="B74" s="61"/>
      <c r="C74" s="62"/>
      <c r="D74" s="63"/>
      <c r="E74" s="63"/>
    </row>
    <row r="75" spans="1:5" ht="27" thickBot="1" x14ac:dyDescent="0.3">
      <c r="A75" s="1" t="s">
        <v>33</v>
      </c>
      <c r="B75" s="2"/>
      <c r="C75" s="2"/>
      <c r="D75" s="2"/>
      <c r="E75" s="2"/>
    </row>
    <row r="76" spans="1:5" ht="47.25" x14ac:dyDescent="0.25">
      <c r="A76" s="3" t="s">
        <v>1</v>
      </c>
      <c r="B76" s="4" t="s">
        <v>2</v>
      </c>
      <c r="C76" s="5" t="s">
        <v>3</v>
      </c>
      <c r="D76" s="6" t="s">
        <v>4</v>
      </c>
      <c r="E76" s="6" t="s">
        <v>5</v>
      </c>
    </row>
    <row r="77" spans="1:5" ht="15.75" x14ac:dyDescent="0.25">
      <c r="A77" s="83" t="s">
        <v>34</v>
      </c>
      <c r="B77" s="84" t="s">
        <v>35</v>
      </c>
      <c r="C77" s="85">
        <v>1964309</v>
      </c>
      <c r="D77" s="20">
        <f>E77/24</f>
        <v>4116</v>
      </c>
      <c r="E77" s="21">
        <v>98784</v>
      </c>
    </row>
    <row r="78" spans="1:5" ht="15.75" x14ac:dyDescent="0.25">
      <c r="A78" s="83" t="s">
        <v>34</v>
      </c>
      <c r="B78" s="84" t="s">
        <v>35</v>
      </c>
      <c r="C78" s="85">
        <v>1964312</v>
      </c>
      <c r="D78" s="20">
        <v>4116</v>
      </c>
      <c r="E78" s="21">
        <v>98784</v>
      </c>
    </row>
    <row r="79" spans="1:5" ht="15.75" x14ac:dyDescent="0.25">
      <c r="A79" s="83" t="s">
        <v>36</v>
      </c>
      <c r="B79" s="84" t="s">
        <v>37</v>
      </c>
      <c r="C79" s="85">
        <v>1964314</v>
      </c>
      <c r="D79" s="20">
        <f>E79/24</f>
        <v>4116</v>
      </c>
      <c r="E79" s="21">
        <v>98784</v>
      </c>
    </row>
    <row r="80" spans="1:5" ht="15.75" x14ac:dyDescent="0.25">
      <c r="A80" s="83" t="s">
        <v>36</v>
      </c>
      <c r="B80" s="84" t="s">
        <v>37</v>
      </c>
      <c r="C80" s="85">
        <v>1964315</v>
      </c>
      <c r="D80" s="20">
        <f>E80/24</f>
        <v>4116</v>
      </c>
      <c r="E80" s="21">
        <v>98784</v>
      </c>
    </row>
    <row r="81" spans="1:5" ht="15.75" x14ac:dyDescent="0.25">
      <c r="A81" s="83" t="s">
        <v>38</v>
      </c>
      <c r="B81" s="84" t="s">
        <v>39</v>
      </c>
      <c r="C81" s="85">
        <v>1964317</v>
      </c>
      <c r="D81" s="20">
        <f>E81/24</f>
        <v>4116</v>
      </c>
      <c r="E81" s="21">
        <v>98784</v>
      </c>
    </row>
    <row r="82" spans="1:5" ht="15.75" x14ac:dyDescent="0.25">
      <c r="A82" s="18"/>
      <c r="B82" s="18"/>
      <c r="C82" s="19"/>
      <c r="D82" s="21"/>
      <c r="E82" s="21"/>
    </row>
  </sheetData>
  <mergeCells count="65">
    <mergeCell ref="A75:E75"/>
    <mergeCell ref="D65:D68"/>
    <mergeCell ref="E65:E68"/>
    <mergeCell ref="A69:A72"/>
    <mergeCell ref="B69:B72"/>
    <mergeCell ref="C69:C72"/>
    <mergeCell ref="D69:D72"/>
    <mergeCell ref="E69:E72"/>
    <mergeCell ref="A65:A68"/>
    <mergeCell ref="B65:B68"/>
    <mergeCell ref="C65:C68"/>
    <mergeCell ref="D58:D61"/>
    <mergeCell ref="E58:E61"/>
    <mergeCell ref="A62:A64"/>
    <mergeCell ref="B62:B64"/>
    <mergeCell ref="C62:C64"/>
    <mergeCell ref="D62:D64"/>
    <mergeCell ref="E62:E64"/>
    <mergeCell ref="D49:D52"/>
    <mergeCell ref="E49:E52"/>
    <mergeCell ref="A55:E55"/>
    <mergeCell ref="A57:E57"/>
    <mergeCell ref="A58:A61"/>
    <mergeCell ref="B58:B61"/>
    <mergeCell ref="C58:C61"/>
    <mergeCell ref="A49:A52"/>
    <mergeCell ref="B49:B52"/>
    <mergeCell ref="C49:C52"/>
    <mergeCell ref="E40:E43"/>
    <mergeCell ref="A44:E44"/>
    <mergeCell ref="A45:A48"/>
    <mergeCell ref="B45:B48"/>
    <mergeCell ref="C45:C48"/>
    <mergeCell ref="D45:D48"/>
    <mergeCell ref="E45:E48"/>
    <mergeCell ref="D32:D34"/>
    <mergeCell ref="E32:E34"/>
    <mergeCell ref="A38:E38"/>
    <mergeCell ref="A40:A43"/>
    <mergeCell ref="B40:B43"/>
    <mergeCell ref="C40:C43"/>
    <mergeCell ref="D40:D43"/>
    <mergeCell ref="A32:A34"/>
    <mergeCell ref="B32:B34"/>
    <mergeCell ref="C32:C34"/>
    <mergeCell ref="A25:E25"/>
    <mergeCell ref="A28:E28"/>
    <mergeCell ref="A29:A31"/>
    <mergeCell ref="B29:B31"/>
    <mergeCell ref="C29:C31"/>
    <mergeCell ref="D29:D31"/>
    <mergeCell ref="E29:E31"/>
    <mergeCell ref="E20:E22"/>
    <mergeCell ref="A23:A24"/>
    <mergeCell ref="B23:B24"/>
    <mergeCell ref="C23:C24"/>
    <mergeCell ref="D23:D24"/>
    <mergeCell ref="E23:E24"/>
    <mergeCell ref="A1:E1"/>
    <mergeCell ref="A5:E5"/>
    <mergeCell ref="A18:E18"/>
    <mergeCell ref="A20:A22"/>
    <mergeCell ref="B20:B22"/>
    <mergeCell ref="C20:C22"/>
    <mergeCell ref="D20:D22"/>
  </mergeCells>
  <conditionalFormatting sqref="C20:C24">
    <cfRule type="duplicateValues" dxfId="7" priority="10"/>
  </conditionalFormatting>
  <conditionalFormatting sqref="C26">
    <cfRule type="duplicateValues" dxfId="6" priority="9"/>
  </conditionalFormatting>
  <conditionalFormatting sqref="C27">
    <cfRule type="duplicateValues" dxfId="5" priority="8"/>
  </conditionalFormatting>
  <conditionalFormatting sqref="C29:C34">
    <cfRule type="duplicateValues" dxfId="4" priority="7"/>
  </conditionalFormatting>
  <conditionalFormatting sqref="C58:C72">
    <cfRule type="duplicateValues" dxfId="3" priority="6"/>
  </conditionalFormatting>
  <conditionalFormatting sqref="C77:C81">
    <cfRule type="duplicateValues" dxfId="2" priority="5"/>
  </conditionalFormatting>
  <conditionalFormatting sqref="C82">
    <cfRule type="duplicateValues" dxfId="1" priority="4"/>
  </conditionalFormatting>
  <conditionalFormatting sqref="C76 C19 C56 C73:C74 C35:C37 C39:C43 C45:C54 C2:C4 C6:C17"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Johny Sousa Gonçalves</dc:creator>
  <cp:lastModifiedBy>James Johny Sousa Gonçalves</cp:lastModifiedBy>
  <dcterms:created xsi:type="dcterms:W3CDTF">2026-06-09T21:21:58Z</dcterms:created>
  <dcterms:modified xsi:type="dcterms:W3CDTF">2026-06-09T21:31:51Z</dcterms:modified>
</cp:coreProperties>
</file>